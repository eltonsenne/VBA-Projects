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127" codeName="{4470D2CD-2249-CD33-4A35-6F278624656F}"/>
  <workbookPr showInkAnnotation="0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patri\Epman Dropbox\EPMAN - Rede Compartilhada\00 EPMAN\10 Sede\04 Suprimentos\20 Orcamentos\RC381 - Material de Limpeza e Epis\"/>
    </mc:Choice>
  </mc:AlternateContent>
  <xr:revisionPtr revIDLastSave="0" documentId="13_ncr:1_{A130BB06-5D0E-4BC6-BBF6-E2BFC2DD02ED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Validação" sheetId="3" r:id="rId1"/>
    <sheet name="Cotações" sheetId="2" r:id="rId2"/>
    <sheet name="Planilha1" sheetId="7" r:id="rId3"/>
    <sheet name="Pedido" sheetId="6" r:id="rId4"/>
  </sheets>
  <definedNames>
    <definedName name="_xlnm._FilterDatabase" localSheetId="1" hidden="1">Cotações!$A$14:$BA$114</definedName>
    <definedName name="_xlnm.Print_Area" localSheetId="1">Cotações!$A$4:$AP$114</definedName>
    <definedName name="_xlnm.Print_Area" localSheetId="3">Pedido!$A$1:$G$81</definedName>
    <definedName name="Centro_Custo">Validação!$C$2:$C$20</definedName>
    <definedName name="Comprador">Validação!$H$2:$H$19</definedName>
    <definedName name="Local_Entrega">Validação!$J$2:$J$29</definedName>
    <definedName name="Requisitante">Validação!$A$2:$A$30</definedName>
    <definedName name="Unidade">Validação!$F$2:$F$20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V40" i="2" l="1"/>
  <c r="M29" i="2" l="1"/>
  <c r="M28" i="2"/>
  <c r="M27" i="2"/>
  <c r="M26" i="2"/>
  <c r="M25" i="2"/>
  <c r="M24" i="2"/>
  <c r="M23" i="2"/>
  <c r="M22" i="2"/>
  <c r="M21" i="2"/>
  <c r="M20" i="2"/>
  <c r="M19" i="2"/>
  <c r="M18" i="2"/>
  <c r="M17" i="2"/>
  <c r="M16" i="2"/>
  <c r="M15" i="2"/>
  <c r="H29" i="2"/>
  <c r="H28" i="2"/>
  <c r="H27" i="2"/>
  <c r="H26" i="2"/>
  <c r="H25" i="2"/>
  <c r="H24" i="2"/>
  <c r="H23" i="2"/>
  <c r="H22" i="2"/>
  <c r="H21" i="2"/>
  <c r="H20" i="2"/>
  <c r="H19" i="2"/>
  <c r="H18" i="2"/>
  <c r="H17" i="2"/>
  <c r="H16" i="2"/>
  <c r="H15" i="2"/>
  <c r="H34" i="2" l="1"/>
  <c r="H33" i="2"/>
  <c r="H32" i="2"/>
  <c r="H31" i="2"/>
  <c r="H30" i="2"/>
  <c r="M31" i="2"/>
  <c r="M30" i="2"/>
  <c r="H35" i="2" l="1"/>
  <c r="H36" i="2"/>
  <c r="H37" i="2"/>
  <c r="H38" i="2"/>
  <c r="H39" i="2"/>
  <c r="R16" i="2" l="1"/>
  <c r="R15" i="2"/>
  <c r="H42" i="2" l="1"/>
  <c r="R27" i="2" l="1"/>
  <c r="H40" i="2"/>
  <c r="H41" i="2"/>
  <c r="H43" i="2"/>
  <c r="H44" i="2"/>
  <c r="H45" i="2"/>
  <c r="H46" i="2"/>
  <c r="AE3" i="2" l="1"/>
  <c r="Z3" i="2"/>
  <c r="U3" i="2"/>
  <c r="P3" i="2"/>
  <c r="K3" i="2"/>
  <c r="F3" i="2"/>
  <c r="I4" i="6"/>
  <c r="AE2" i="2"/>
  <c r="Z2" i="2"/>
  <c r="U2" i="2"/>
  <c r="P2" i="2"/>
  <c r="K2" i="2"/>
  <c r="F2" i="2"/>
  <c r="AE1" i="2"/>
  <c r="Z1" i="2"/>
  <c r="U1" i="2"/>
  <c r="P1" i="2"/>
  <c r="K1" i="2"/>
  <c r="F1" i="2"/>
  <c r="J3" i="6"/>
  <c r="D8" i="6" s="1"/>
  <c r="I3" i="6"/>
  <c r="A8" i="6" s="1"/>
  <c r="J1" i="6"/>
  <c r="D6" i="6" s="1"/>
  <c r="A6" i="6"/>
  <c r="D7" i="6"/>
  <c r="G61" i="6"/>
  <c r="G62" i="6"/>
  <c r="G63" i="6"/>
  <c r="G64" i="6"/>
  <c r="G65" i="6"/>
  <c r="G66" i="6"/>
  <c r="G67" i="6"/>
  <c r="G68" i="6"/>
  <c r="G69" i="6"/>
  <c r="G70" i="6"/>
  <c r="G71" i="6"/>
  <c r="G72" i="6"/>
  <c r="G73" i="6"/>
  <c r="G74" i="6"/>
  <c r="G75" i="6"/>
  <c r="G76" i="6"/>
  <c r="G77" i="6"/>
  <c r="G78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19" i="6"/>
  <c r="J4" i="6" l="1"/>
  <c r="A11" i="6" s="1"/>
  <c r="K1" i="6"/>
  <c r="K2" i="6"/>
  <c r="D11" i="6" s="1"/>
  <c r="I2" i="6"/>
  <c r="A7" i="6" s="1"/>
  <c r="K3" i="6"/>
  <c r="L4" i="6"/>
  <c r="A14" i="6" s="1"/>
  <c r="G80" i="6"/>
  <c r="AN114" i="2"/>
  <c r="AN113" i="2"/>
  <c r="AN112" i="2"/>
  <c r="AN111" i="2"/>
  <c r="AN110" i="2"/>
  <c r="AN109" i="2"/>
  <c r="AN108" i="2"/>
  <c r="AN107" i="2"/>
  <c r="AN106" i="2"/>
  <c r="AN105" i="2"/>
  <c r="AN104" i="2"/>
  <c r="AN103" i="2"/>
  <c r="AN102" i="2"/>
  <c r="AN101" i="2"/>
  <c r="AN100" i="2"/>
  <c r="AN99" i="2"/>
  <c r="AN98" i="2"/>
  <c r="AN97" i="2"/>
  <c r="AN96" i="2"/>
  <c r="AN95" i="2"/>
  <c r="AN94" i="2"/>
  <c r="AN93" i="2"/>
  <c r="AN92" i="2"/>
  <c r="AN91" i="2"/>
  <c r="AN90" i="2"/>
  <c r="AN89" i="2"/>
  <c r="AN88" i="2"/>
  <c r="AN87" i="2"/>
  <c r="AN86" i="2"/>
  <c r="AN85" i="2"/>
  <c r="AN84" i="2"/>
  <c r="AN83" i="2"/>
  <c r="AN82" i="2"/>
  <c r="AN81" i="2"/>
  <c r="AN80" i="2"/>
  <c r="AN79" i="2"/>
  <c r="AN78" i="2"/>
  <c r="AN77" i="2"/>
  <c r="AN76" i="2"/>
  <c r="AN75" i="2"/>
  <c r="AN74" i="2"/>
  <c r="AN73" i="2"/>
  <c r="AN72" i="2"/>
  <c r="AN71" i="2"/>
  <c r="AN70" i="2"/>
  <c r="AN69" i="2"/>
  <c r="AN68" i="2"/>
  <c r="AN67" i="2"/>
  <c r="AN66" i="2"/>
  <c r="AN65" i="2"/>
  <c r="AN64" i="2"/>
  <c r="AN63" i="2"/>
  <c r="AN62" i="2"/>
  <c r="AN61" i="2"/>
  <c r="AN60" i="2"/>
  <c r="AN59" i="2"/>
  <c r="AN58" i="2"/>
  <c r="AN57" i="2"/>
  <c r="AN56" i="2"/>
  <c r="AN55" i="2"/>
  <c r="AN54" i="2"/>
  <c r="AN53" i="2"/>
  <c r="AN52" i="2"/>
  <c r="AN51" i="2"/>
  <c r="AN50" i="2"/>
  <c r="AN49" i="2"/>
  <c r="AN48" i="2"/>
  <c r="AN47" i="2"/>
  <c r="AN46" i="2"/>
  <c r="AN45" i="2"/>
  <c r="AN44" i="2"/>
  <c r="AN43" i="2"/>
  <c r="AN42" i="2"/>
  <c r="AN41" i="2"/>
  <c r="AN40" i="2"/>
  <c r="AN39" i="2"/>
  <c r="AN38" i="2"/>
  <c r="AN37" i="2"/>
  <c r="AN36" i="2"/>
  <c r="AN35" i="2"/>
  <c r="AN34" i="2"/>
  <c r="AN33" i="2"/>
  <c r="AN32" i="2"/>
  <c r="AN31" i="2"/>
  <c r="AN30" i="2"/>
  <c r="AN29" i="2"/>
  <c r="AN28" i="2"/>
  <c r="AN27" i="2"/>
  <c r="AN26" i="2"/>
  <c r="AN25" i="2"/>
  <c r="AN24" i="2"/>
  <c r="AN23" i="2"/>
  <c r="AN22" i="2"/>
  <c r="AN21" i="2"/>
  <c r="AN20" i="2"/>
  <c r="AN19" i="2"/>
  <c r="AN18" i="2"/>
  <c r="AN17" i="2"/>
  <c r="AN16" i="2"/>
  <c r="AN15" i="2"/>
  <c r="AO15" i="2" s="1"/>
  <c r="K4" i="6" l="1"/>
  <c r="A5" i="6" s="1"/>
  <c r="AO17" i="2" l="1"/>
  <c r="AO19" i="2"/>
  <c r="AO23" i="2"/>
  <c r="AO27" i="2"/>
  <c r="AO35" i="2"/>
  <c r="AO39" i="2"/>
  <c r="AO43" i="2"/>
  <c r="AO47" i="2"/>
  <c r="AO51" i="2"/>
  <c r="AW15" i="2"/>
  <c r="H114" i="2"/>
  <c r="H113" i="2"/>
  <c r="H112" i="2"/>
  <c r="H111" i="2"/>
  <c r="H110" i="2"/>
  <c r="H109" i="2"/>
  <c r="H108" i="2"/>
  <c r="H107" i="2"/>
  <c r="H106" i="2"/>
  <c r="H105" i="2"/>
  <c r="H104" i="2"/>
  <c r="H103" i="2"/>
  <c r="H102" i="2"/>
  <c r="H101" i="2"/>
  <c r="H100" i="2"/>
  <c r="H99" i="2"/>
  <c r="H98" i="2"/>
  <c r="H97" i="2"/>
  <c r="H96" i="2"/>
  <c r="H95" i="2"/>
  <c r="H94" i="2"/>
  <c r="H93" i="2"/>
  <c r="H92" i="2"/>
  <c r="H91" i="2"/>
  <c r="H90" i="2"/>
  <c r="H89" i="2"/>
  <c r="H88" i="2"/>
  <c r="H87" i="2"/>
  <c r="H86" i="2"/>
  <c r="H85" i="2"/>
  <c r="H84" i="2"/>
  <c r="H83" i="2"/>
  <c r="H82" i="2"/>
  <c r="H81" i="2"/>
  <c r="H80" i="2"/>
  <c r="H79" i="2"/>
  <c r="H78" i="2"/>
  <c r="H77" i="2"/>
  <c r="H76" i="2"/>
  <c r="H75" i="2"/>
  <c r="H74" i="2"/>
  <c r="H73" i="2"/>
  <c r="H72" i="2"/>
  <c r="H71" i="2"/>
  <c r="H70" i="2"/>
  <c r="H69" i="2"/>
  <c r="H68" i="2"/>
  <c r="H67" i="2"/>
  <c r="H66" i="2"/>
  <c r="H65" i="2"/>
  <c r="H64" i="2"/>
  <c r="H63" i="2"/>
  <c r="H62" i="2"/>
  <c r="H61" i="2"/>
  <c r="H60" i="2"/>
  <c r="H59" i="2"/>
  <c r="H58" i="2"/>
  <c r="H57" i="2"/>
  <c r="H56" i="2"/>
  <c r="H55" i="2"/>
  <c r="H54" i="2"/>
  <c r="H53" i="2"/>
  <c r="H52" i="2"/>
  <c r="H51" i="2"/>
  <c r="H50" i="2"/>
  <c r="H49" i="2"/>
  <c r="H48" i="2"/>
  <c r="H47" i="2"/>
  <c r="M114" i="2"/>
  <c r="M113" i="2"/>
  <c r="M112" i="2"/>
  <c r="M111" i="2"/>
  <c r="M110" i="2"/>
  <c r="M109" i="2"/>
  <c r="M108" i="2"/>
  <c r="M107" i="2"/>
  <c r="M106" i="2"/>
  <c r="M105" i="2"/>
  <c r="M104" i="2"/>
  <c r="M103" i="2"/>
  <c r="M102" i="2"/>
  <c r="M101" i="2"/>
  <c r="M100" i="2"/>
  <c r="M99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M82" i="2"/>
  <c r="M81" i="2"/>
  <c r="M80" i="2"/>
  <c r="M79" i="2"/>
  <c r="M78" i="2"/>
  <c r="M77" i="2"/>
  <c r="M76" i="2"/>
  <c r="M75" i="2"/>
  <c r="M74" i="2"/>
  <c r="M73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58" i="2"/>
  <c r="M57" i="2"/>
  <c r="M56" i="2"/>
  <c r="M55" i="2"/>
  <c r="M54" i="2"/>
  <c r="M53" i="2"/>
  <c r="M52" i="2"/>
  <c r="M51" i="2"/>
  <c r="M50" i="2"/>
  <c r="M49" i="2"/>
  <c r="M48" i="2"/>
  <c r="M47" i="2"/>
  <c r="M46" i="2"/>
  <c r="M45" i="2"/>
  <c r="M44" i="2"/>
  <c r="M43" i="2"/>
  <c r="M42" i="2"/>
  <c r="M41" i="2"/>
  <c r="M40" i="2"/>
  <c r="M39" i="2"/>
  <c r="M38" i="2"/>
  <c r="M37" i="2"/>
  <c r="M36" i="2"/>
  <c r="M35" i="2"/>
  <c r="M34" i="2"/>
  <c r="M33" i="2"/>
  <c r="M32" i="2"/>
  <c r="R114" i="2"/>
  <c r="R113" i="2"/>
  <c r="R112" i="2"/>
  <c r="R111" i="2"/>
  <c r="R110" i="2"/>
  <c r="R109" i="2"/>
  <c r="R108" i="2"/>
  <c r="R107" i="2"/>
  <c r="R106" i="2"/>
  <c r="R105" i="2"/>
  <c r="R104" i="2"/>
  <c r="R103" i="2"/>
  <c r="R102" i="2"/>
  <c r="R101" i="2"/>
  <c r="R100" i="2"/>
  <c r="R99" i="2"/>
  <c r="R98" i="2"/>
  <c r="R97" i="2"/>
  <c r="R96" i="2"/>
  <c r="R95" i="2"/>
  <c r="R94" i="2"/>
  <c r="R93" i="2"/>
  <c r="R92" i="2"/>
  <c r="R91" i="2"/>
  <c r="R90" i="2"/>
  <c r="R89" i="2"/>
  <c r="R88" i="2"/>
  <c r="R87" i="2"/>
  <c r="R86" i="2"/>
  <c r="R85" i="2"/>
  <c r="R84" i="2"/>
  <c r="R83" i="2"/>
  <c r="R82" i="2"/>
  <c r="R81" i="2"/>
  <c r="R80" i="2"/>
  <c r="R79" i="2"/>
  <c r="R78" i="2"/>
  <c r="R77" i="2"/>
  <c r="R76" i="2"/>
  <c r="R75" i="2"/>
  <c r="R74" i="2"/>
  <c r="R73" i="2"/>
  <c r="R72" i="2"/>
  <c r="R71" i="2"/>
  <c r="R70" i="2"/>
  <c r="R69" i="2"/>
  <c r="R68" i="2"/>
  <c r="R67" i="2"/>
  <c r="R66" i="2"/>
  <c r="R65" i="2"/>
  <c r="R64" i="2"/>
  <c r="R63" i="2"/>
  <c r="R62" i="2"/>
  <c r="R61" i="2"/>
  <c r="R60" i="2"/>
  <c r="R59" i="2"/>
  <c r="R58" i="2"/>
  <c r="R57" i="2"/>
  <c r="R56" i="2"/>
  <c r="R55" i="2"/>
  <c r="R54" i="2"/>
  <c r="R53" i="2"/>
  <c r="R52" i="2"/>
  <c r="R51" i="2"/>
  <c r="R50" i="2"/>
  <c r="R49" i="2"/>
  <c r="R48" i="2"/>
  <c r="R47" i="2"/>
  <c r="R46" i="2"/>
  <c r="R45" i="2"/>
  <c r="R44" i="2"/>
  <c r="R43" i="2"/>
  <c r="R42" i="2"/>
  <c r="R41" i="2"/>
  <c r="R40" i="2"/>
  <c r="R39" i="2"/>
  <c r="R38" i="2"/>
  <c r="R37" i="2"/>
  <c r="R36" i="2"/>
  <c r="R35" i="2"/>
  <c r="R34" i="2"/>
  <c r="R33" i="2"/>
  <c r="R32" i="2"/>
  <c r="R31" i="2"/>
  <c r="R30" i="2"/>
  <c r="R29" i="2"/>
  <c r="R28" i="2"/>
  <c r="R26" i="2"/>
  <c r="R25" i="2"/>
  <c r="R24" i="2"/>
  <c r="R23" i="2"/>
  <c r="R22" i="2"/>
  <c r="R21" i="2"/>
  <c r="R20" i="2"/>
  <c r="R19" i="2"/>
  <c r="R18" i="2"/>
  <c r="R17" i="2"/>
  <c r="W114" i="2"/>
  <c r="W113" i="2"/>
  <c r="W112" i="2"/>
  <c r="W111" i="2"/>
  <c r="W110" i="2"/>
  <c r="W109" i="2"/>
  <c r="W108" i="2"/>
  <c r="W107" i="2"/>
  <c r="W106" i="2"/>
  <c r="W105" i="2"/>
  <c r="W104" i="2"/>
  <c r="W103" i="2"/>
  <c r="W102" i="2"/>
  <c r="W101" i="2"/>
  <c r="W100" i="2"/>
  <c r="W99" i="2"/>
  <c r="W98" i="2"/>
  <c r="W97" i="2"/>
  <c r="W96" i="2"/>
  <c r="W95" i="2"/>
  <c r="W94" i="2"/>
  <c r="W93" i="2"/>
  <c r="W92" i="2"/>
  <c r="W91" i="2"/>
  <c r="W90" i="2"/>
  <c r="W89" i="2"/>
  <c r="W88" i="2"/>
  <c r="W87" i="2"/>
  <c r="W86" i="2"/>
  <c r="W85" i="2"/>
  <c r="W84" i="2"/>
  <c r="W83" i="2"/>
  <c r="W82" i="2"/>
  <c r="W81" i="2"/>
  <c r="W80" i="2"/>
  <c r="W79" i="2"/>
  <c r="W78" i="2"/>
  <c r="W77" i="2"/>
  <c r="W76" i="2"/>
  <c r="W75" i="2"/>
  <c r="W74" i="2"/>
  <c r="W73" i="2"/>
  <c r="W72" i="2"/>
  <c r="W71" i="2"/>
  <c r="W70" i="2"/>
  <c r="W69" i="2"/>
  <c r="W68" i="2"/>
  <c r="W67" i="2"/>
  <c r="W66" i="2"/>
  <c r="W65" i="2"/>
  <c r="W64" i="2"/>
  <c r="W63" i="2"/>
  <c r="W62" i="2"/>
  <c r="W61" i="2"/>
  <c r="W60" i="2"/>
  <c r="W59" i="2"/>
  <c r="W58" i="2"/>
  <c r="W57" i="2"/>
  <c r="W56" i="2"/>
  <c r="W55" i="2"/>
  <c r="W54" i="2"/>
  <c r="W53" i="2"/>
  <c r="W52" i="2"/>
  <c r="W51" i="2"/>
  <c r="W50" i="2"/>
  <c r="W49" i="2"/>
  <c r="W48" i="2"/>
  <c r="W47" i="2"/>
  <c r="W46" i="2"/>
  <c r="W45" i="2"/>
  <c r="W44" i="2"/>
  <c r="W43" i="2"/>
  <c r="W42" i="2"/>
  <c r="W41" i="2"/>
  <c r="W40" i="2"/>
  <c r="W39" i="2"/>
  <c r="W38" i="2"/>
  <c r="W37" i="2"/>
  <c r="W36" i="2"/>
  <c r="W35" i="2"/>
  <c r="W34" i="2"/>
  <c r="W33" i="2"/>
  <c r="W32" i="2"/>
  <c r="W31" i="2"/>
  <c r="W30" i="2"/>
  <c r="W29" i="2"/>
  <c r="W28" i="2"/>
  <c r="W27" i="2"/>
  <c r="W26" i="2"/>
  <c r="W25" i="2"/>
  <c r="W24" i="2"/>
  <c r="W23" i="2"/>
  <c r="W22" i="2"/>
  <c r="W21" i="2"/>
  <c r="W20" i="2"/>
  <c r="W19" i="2"/>
  <c r="W18" i="2"/>
  <c r="W17" i="2"/>
  <c r="W16" i="2"/>
  <c r="W15" i="2"/>
  <c r="AB114" i="2"/>
  <c r="AB113" i="2"/>
  <c r="AB112" i="2"/>
  <c r="AB111" i="2"/>
  <c r="AB110" i="2"/>
  <c r="AB109" i="2"/>
  <c r="AB108" i="2"/>
  <c r="AB107" i="2"/>
  <c r="AB106" i="2"/>
  <c r="AB105" i="2"/>
  <c r="AB104" i="2"/>
  <c r="AB103" i="2"/>
  <c r="AB102" i="2"/>
  <c r="AB101" i="2"/>
  <c r="AB100" i="2"/>
  <c r="AB99" i="2"/>
  <c r="AB98" i="2"/>
  <c r="AB97" i="2"/>
  <c r="AB96" i="2"/>
  <c r="AB95" i="2"/>
  <c r="AB94" i="2"/>
  <c r="AB93" i="2"/>
  <c r="AB92" i="2"/>
  <c r="AB91" i="2"/>
  <c r="AB90" i="2"/>
  <c r="AB89" i="2"/>
  <c r="AB88" i="2"/>
  <c r="AB87" i="2"/>
  <c r="AB86" i="2"/>
  <c r="AB85" i="2"/>
  <c r="AB84" i="2"/>
  <c r="AB83" i="2"/>
  <c r="AB82" i="2"/>
  <c r="AB81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AB27" i="2"/>
  <c r="AB26" i="2"/>
  <c r="AB25" i="2"/>
  <c r="AB24" i="2"/>
  <c r="AB23" i="2"/>
  <c r="AB22" i="2"/>
  <c r="AB21" i="2"/>
  <c r="AB20" i="2"/>
  <c r="AB19" i="2"/>
  <c r="AB18" i="2"/>
  <c r="AB17" i="2"/>
  <c r="AB16" i="2"/>
  <c r="AB15" i="2"/>
  <c r="AG114" i="2"/>
  <c r="AG113" i="2"/>
  <c r="AG112" i="2"/>
  <c r="AG111" i="2"/>
  <c r="AG110" i="2"/>
  <c r="AG109" i="2"/>
  <c r="AG108" i="2"/>
  <c r="AG107" i="2"/>
  <c r="AG106" i="2"/>
  <c r="AG105" i="2"/>
  <c r="AG104" i="2"/>
  <c r="AG103" i="2"/>
  <c r="AG102" i="2"/>
  <c r="AG101" i="2"/>
  <c r="AG100" i="2"/>
  <c r="AG99" i="2"/>
  <c r="AG98" i="2"/>
  <c r="AG97" i="2"/>
  <c r="AG96" i="2"/>
  <c r="AG95" i="2"/>
  <c r="AG94" i="2"/>
  <c r="AG93" i="2"/>
  <c r="AG92" i="2"/>
  <c r="AG91" i="2"/>
  <c r="AG90" i="2"/>
  <c r="AG89" i="2"/>
  <c r="AG88" i="2"/>
  <c r="AG87" i="2"/>
  <c r="AG86" i="2"/>
  <c r="AG85" i="2"/>
  <c r="AG84" i="2"/>
  <c r="AG83" i="2"/>
  <c r="AG82" i="2"/>
  <c r="AG81" i="2"/>
  <c r="AG80" i="2"/>
  <c r="AG79" i="2"/>
  <c r="AG78" i="2"/>
  <c r="AG77" i="2"/>
  <c r="AG76" i="2"/>
  <c r="AG75" i="2"/>
  <c r="AG74" i="2"/>
  <c r="AG73" i="2"/>
  <c r="AG72" i="2"/>
  <c r="AG71" i="2"/>
  <c r="AG70" i="2"/>
  <c r="AG69" i="2"/>
  <c r="AG68" i="2"/>
  <c r="AG67" i="2"/>
  <c r="AG66" i="2"/>
  <c r="AG65" i="2"/>
  <c r="AG64" i="2"/>
  <c r="AG63" i="2"/>
  <c r="AG62" i="2"/>
  <c r="AG61" i="2"/>
  <c r="AG60" i="2"/>
  <c r="AG59" i="2"/>
  <c r="AG58" i="2"/>
  <c r="AG57" i="2"/>
  <c r="AG56" i="2"/>
  <c r="AG55" i="2"/>
  <c r="AG54" i="2"/>
  <c r="AG53" i="2"/>
  <c r="AG52" i="2"/>
  <c r="AG51" i="2"/>
  <c r="AG50" i="2"/>
  <c r="AG49" i="2"/>
  <c r="AG48" i="2"/>
  <c r="AG47" i="2"/>
  <c r="AG46" i="2"/>
  <c r="AG45" i="2"/>
  <c r="AG44" i="2"/>
  <c r="AG43" i="2"/>
  <c r="AG42" i="2"/>
  <c r="AG41" i="2"/>
  <c r="AG40" i="2"/>
  <c r="AG39" i="2"/>
  <c r="AG38" i="2"/>
  <c r="AG37" i="2"/>
  <c r="AG36" i="2"/>
  <c r="AG35" i="2"/>
  <c r="AG34" i="2"/>
  <c r="AG33" i="2"/>
  <c r="AG32" i="2"/>
  <c r="AG31" i="2"/>
  <c r="AG30" i="2"/>
  <c r="AG29" i="2"/>
  <c r="AG28" i="2"/>
  <c r="AG27" i="2"/>
  <c r="AG26" i="2"/>
  <c r="AG25" i="2"/>
  <c r="AO32" i="2"/>
  <c r="AO24" i="2"/>
  <c r="AO22" i="2"/>
  <c r="AO21" i="2"/>
  <c r="AO20" i="2"/>
  <c r="AO18" i="2"/>
  <c r="AO16" i="2"/>
  <c r="AO25" i="2"/>
  <c r="AO26" i="2"/>
  <c r="AO28" i="2"/>
  <c r="AO29" i="2"/>
  <c r="AO30" i="2"/>
  <c r="AO33" i="2"/>
  <c r="AO34" i="2"/>
  <c r="AO36" i="2"/>
  <c r="AO37" i="2"/>
  <c r="AO38" i="2"/>
  <c r="AO40" i="2"/>
  <c r="AO41" i="2"/>
  <c r="AO42" i="2"/>
  <c r="AO44" i="2"/>
  <c r="AO45" i="2"/>
  <c r="AO46" i="2"/>
  <c r="AO48" i="2"/>
  <c r="AO49" i="2"/>
  <c r="AO50" i="2"/>
  <c r="AO52" i="2"/>
  <c r="AO53" i="2"/>
  <c r="AO54" i="2"/>
  <c r="AO55" i="2"/>
  <c r="AO56" i="2"/>
  <c r="AO57" i="2"/>
  <c r="AO58" i="2"/>
  <c r="AO59" i="2"/>
  <c r="AO60" i="2"/>
  <c r="AO61" i="2"/>
  <c r="AO62" i="2"/>
  <c r="AO63" i="2"/>
  <c r="AO64" i="2"/>
  <c r="AO65" i="2"/>
  <c r="AO66" i="2"/>
  <c r="AO67" i="2"/>
  <c r="AO68" i="2"/>
  <c r="AO69" i="2"/>
  <c r="AO70" i="2"/>
  <c r="AO71" i="2"/>
  <c r="AO72" i="2"/>
  <c r="AO73" i="2"/>
  <c r="AO74" i="2"/>
  <c r="AO75" i="2"/>
  <c r="AO76" i="2"/>
  <c r="AO77" i="2"/>
  <c r="AO78" i="2"/>
  <c r="AO79" i="2"/>
  <c r="AO80" i="2"/>
  <c r="AO81" i="2"/>
  <c r="AO82" i="2"/>
  <c r="AO83" i="2"/>
  <c r="AO84" i="2"/>
  <c r="AO85" i="2"/>
  <c r="AO86" i="2"/>
  <c r="AO87" i="2"/>
  <c r="AO88" i="2"/>
  <c r="AO89" i="2"/>
  <c r="AO90" i="2"/>
  <c r="AO91" i="2"/>
  <c r="AO92" i="2"/>
  <c r="AO93" i="2"/>
  <c r="AO94" i="2"/>
  <c r="AO95" i="2"/>
  <c r="AO96" i="2"/>
  <c r="AO97" i="2"/>
  <c r="AO98" i="2"/>
  <c r="AO99" i="2"/>
  <c r="AO100" i="2"/>
  <c r="AO101" i="2"/>
  <c r="AO102" i="2"/>
  <c r="AO103" i="2"/>
  <c r="AO104" i="2"/>
  <c r="AO105" i="2"/>
  <c r="AO106" i="2"/>
  <c r="AO107" i="2"/>
  <c r="AO108" i="2"/>
  <c r="AO109" i="2"/>
  <c r="AO110" i="2"/>
  <c r="AO111" i="2"/>
  <c r="AO112" i="2"/>
  <c r="AO113" i="2"/>
  <c r="AO114" i="2"/>
  <c r="AW114" i="2"/>
  <c r="AV114" i="2"/>
  <c r="AU114" i="2"/>
  <c r="AT114" i="2"/>
  <c r="AS114" i="2"/>
  <c r="AR114" i="2"/>
  <c r="AW113" i="2"/>
  <c r="AV113" i="2"/>
  <c r="AU113" i="2"/>
  <c r="AT113" i="2"/>
  <c r="AS113" i="2"/>
  <c r="AR113" i="2"/>
  <c r="AW112" i="2"/>
  <c r="AV112" i="2"/>
  <c r="AU112" i="2"/>
  <c r="AT112" i="2"/>
  <c r="AS112" i="2"/>
  <c r="AR112" i="2"/>
  <c r="AW111" i="2"/>
  <c r="AV111" i="2"/>
  <c r="AU111" i="2"/>
  <c r="AT111" i="2"/>
  <c r="AS111" i="2"/>
  <c r="AR111" i="2"/>
  <c r="AW110" i="2"/>
  <c r="AV110" i="2"/>
  <c r="AU110" i="2"/>
  <c r="AT110" i="2"/>
  <c r="AS110" i="2"/>
  <c r="AR110" i="2"/>
  <c r="AW109" i="2"/>
  <c r="AV109" i="2"/>
  <c r="AU109" i="2"/>
  <c r="AT109" i="2"/>
  <c r="AS109" i="2"/>
  <c r="AR109" i="2"/>
  <c r="AW108" i="2"/>
  <c r="AV108" i="2"/>
  <c r="AU108" i="2"/>
  <c r="AT108" i="2"/>
  <c r="AS108" i="2"/>
  <c r="AR108" i="2"/>
  <c r="AW107" i="2"/>
  <c r="AV107" i="2"/>
  <c r="AU107" i="2"/>
  <c r="AT107" i="2"/>
  <c r="AS107" i="2"/>
  <c r="AR107" i="2"/>
  <c r="AW106" i="2"/>
  <c r="AV106" i="2"/>
  <c r="AU106" i="2"/>
  <c r="AT106" i="2"/>
  <c r="AS106" i="2"/>
  <c r="AR106" i="2"/>
  <c r="AW105" i="2"/>
  <c r="AV105" i="2"/>
  <c r="AU105" i="2"/>
  <c r="AT105" i="2"/>
  <c r="AS105" i="2"/>
  <c r="AR105" i="2"/>
  <c r="AW104" i="2"/>
  <c r="AV104" i="2"/>
  <c r="AU104" i="2"/>
  <c r="AT104" i="2"/>
  <c r="AS104" i="2"/>
  <c r="AR104" i="2"/>
  <c r="AW103" i="2"/>
  <c r="AV103" i="2"/>
  <c r="AU103" i="2"/>
  <c r="AT103" i="2"/>
  <c r="AS103" i="2"/>
  <c r="AR103" i="2"/>
  <c r="AW102" i="2"/>
  <c r="AV102" i="2"/>
  <c r="AU102" i="2"/>
  <c r="AT102" i="2"/>
  <c r="AS102" i="2"/>
  <c r="AR102" i="2"/>
  <c r="AW101" i="2"/>
  <c r="AV101" i="2"/>
  <c r="AU101" i="2"/>
  <c r="AT101" i="2"/>
  <c r="AS101" i="2"/>
  <c r="AR101" i="2"/>
  <c r="AW100" i="2"/>
  <c r="AV100" i="2"/>
  <c r="AU100" i="2"/>
  <c r="AT100" i="2"/>
  <c r="AS100" i="2"/>
  <c r="AR100" i="2"/>
  <c r="AW99" i="2"/>
  <c r="AV99" i="2"/>
  <c r="AU99" i="2"/>
  <c r="AT99" i="2"/>
  <c r="AS99" i="2"/>
  <c r="AR99" i="2"/>
  <c r="AW98" i="2"/>
  <c r="AV98" i="2"/>
  <c r="AU98" i="2"/>
  <c r="AT98" i="2"/>
  <c r="AS98" i="2"/>
  <c r="AR98" i="2"/>
  <c r="AW97" i="2"/>
  <c r="AV97" i="2"/>
  <c r="AU97" i="2"/>
  <c r="AT97" i="2"/>
  <c r="AS97" i="2"/>
  <c r="AR97" i="2"/>
  <c r="AW96" i="2"/>
  <c r="AV96" i="2"/>
  <c r="AU96" i="2"/>
  <c r="AT96" i="2"/>
  <c r="AS96" i="2"/>
  <c r="AR96" i="2"/>
  <c r="AW95" i="2"/>
  <c r="AV95" i="2"/>
  <c r="AU95" i="2"/>
  <c r="AT95" i="2"/>
  <c r="AS95" i="2"/>
  <c r="AR95" i="2"/>
  <c r="AW94" i="2"/>
  <c r="AV94" i="2"/>
  <c r="AU94" i="2"/>
  <c r="AT94" i="2"/>
  <c r="AS94" i="2"/>
  <c r="AR94" i="2"/>
  <c r="AW93" i="2"/>
  <c r="AV93" i="2"/>
  <c r="AU93" i="2"/>
  <c r="AT93" i="2"/>
  <c r="AS93" i="2"/>
  <c r="AR93" i="2"/>
  <c r="AW92" i="2"/>
  <c r="AV92" i="2"/>
  <c r="AU92" i="2"/>
  <c r="AT92" i="2"/>
  <c r="AS92" i="2"/>
  <c r="AR92" i="2"/>
  <c r="AW91" i="2"/>
  <c r="AV91" i="2"/>
  <c r="AU91" i="2"/>
  <c r="AT91" i="2"/>
  <c r="AS91" i="2"/>
  <c r="AR91" i="2"/>
  <c r="AW90" i="2"/>
  <c r="AV90" i="2"/>
  <c r="AU90" i="2"/>
  <c r="AT90" i="2"/>
  <c r="AS90" i="2"/>
  <c r="AR90" i="2"/>
  <c r="AW89" i="2"/>
  <c r="AV89" i="2"/>
  <c r="AU89" i="2"/>
  <c r="AT89" i="2"/>
  <c r="AS89" i="2"/>
  <c r="AR89" i="2"/>
  <c r="AW88" i="2"/>
  <c r="AV88" i="2"/>
  <c r="AU88" i="2"/>
  <c r="AT88" i="2"/>
  <c r="AS88" i="2"/>
  <c r="AR88" i="2"/>
  <c r="AW87" i="2"/>
  <c r="AV87" i="2"/>
  <c r="AU87" i="2"/>
  <c r="AT87" i="2"/>
  <c r="AS87" i="2"/>
  <c r="AR87" i="2"/>
  <c r="AW86" i="2"/>
  <c r="AV86" i="2"/>
  <c r="AU86" i="2"/>
  <c r="AT86" i="2"/>
  <c r="AS86" i="2"/>
  <c r="AR86" i="2"/>
  <c r="AW85" i="2"/>
  <c r="AV85" i="2"/>
  <c r="AU85" i="2"/>
  <c r="AT85" i="2"/>
  <c r="AS85" i="2"/>
  <c r="AR85" i="2"/>
  <c r="AW84" i="2"/>
  <c r="AV84" i="2"/>
  <c r="AU84" i="2"/>
  <c r="AT84" i="2"/>
  <c r="AS84" i="2"/>
  <c r="AR84" i="2"/>
  <c r="AW83" i="2"/>
  <c r="AV83" i="2"/>
  <c r="AU83" i="2"/>
  <c r="AT83" i="2"/>
  <c r="AS83" i="2"/>
  <c r="AR83" i="2"/>
  <c r="AW82" i="2"/>
  <c r="AV82" i="2"/>
  <c r="AU82" i="2"/>
  <c r="AT82" i="2"/>
  <c r="AS82" i="2"/>
  <c r="AR82" i="2"/>
  <c r="AW81" i="2"/>
  <c r="AV81" i="2"/>
  <c r="AU81" i="2"/>
  <c r="AT81" i="2"/>
  <c r="AS81" i="2"/>
  <c r="AR81" i="2"/>
  <c r="AW80" i="2"/>
  <c r="AV80" i="2"/>
  <c r="AU80" i="2"/>
  <c r="AT80" i="2"/>
  <c r="AS80" i="2"/>
  <c r="AR80" i="2"/>
  <c r="AW79" i="2"/>
  <c r="AV79" i="2"/>
  <c r="AU79" i="2"/>
  <c r="AT79" i="2"/>
  <c r="AS79" i="2"/>
  <c r="AR79" i="2"/>
  <c r="AW78" i="2"/>
  <c r="AV78" i="2"/>
  <c r="AU78" i="2"/>
  <c r="AT78" i="2"/>
  <c r="AS78" i="2"/>
  <c r="AR78" i="2"/>
  <c r="AW77" i="2"/>
  <c r="AV77" i="2"/>
  <c r="AU77" i="2"/>
  <c r="AT77" i="2"/>
  <c r="AS77" i="2"/>
  <c r="AR77" i="2"/>
  <c r="AW76" i="2"/>
  <c r="AV76" i="2"/>
  <c r="AU76" i="2"/>
  <c r="AT76" i="2"/>
  <c r="AS76" i="2"/>
  <c r="AR76" i="2"/>
  <c r="AW75" i="2"/>
  <c r="AV75" i="2"/>
  <c r="AU75" i="2"/>
  <c r="AT75" i="2"/>
  <c r="AS75" i="2"/>
  <c r="AR75" i="2"/>
  <c r="AW74" i="2"/>
  <c r="AV74" i="2"/>
  <c r="AU74" i="2"/>
  <c r="AT74" i="2"/>
  <c r="AS74" i="2"/>
  <c r="AR74" i="2"/>
  <c r="AW73" i="2"/>
  <c r="AV73" i="2"/>
  <c r="AU73" i="2"/>
  <c r="AT73" i="2"/>
  <c r="AS73" i="2"/>
  <c r="AR73" i="2"/>
  <c r="AW72" i="2"/>
  <c r="AV72" i="2"/>
  <c r="AU72" i="2"/>
  <c r="AT72" i="2"/>
  <c r="AS72" i="2"/>
  <c r="AR72" i="2"/>
  <c r="AW71" i="2"/>
  <c r="AV71" i="2"/>
  <c r="AU71" i="2"/>
  <c r="AT71" i="2"/>
  <c r="AS71" i="2"/>
  <c r="AR71" i="2"/>
  <c r="AW70" i="2"/>
  <c r="AV70" i="2"/>
  <c r="AU70" i="2"/>
  <c r="AT70" i="2"/>
  <c r="AS70" i="2"/>
  <c r="AR70" i="2"/>
  <c r="AW69" i="2"/>
  <c r="AV69" i="2"/>
  <c r="AU69" i="2"/>
  <c r="AT69" i="2"/>
  <c r="AS69" i="2"/>
  <c r="AR69" i="2"/>
  <c r="AW68" i="2"/>
  <c r="AV68" i="2"/>
  <c r="AU68" i="2"/>
  <c r="AT68" i="2"/>
  <c r="AS68" i="2"/>
  <c r="AR68" i="2"/>
  <c r="AW67" i="2"/>
  <c r="AV67" i="2"/>
  <c r="AU67" i="2"/>
  <c r="AT67" i="2"/>
  <c r="AS67" i="2"/>
  <c r="AR67" i="2"/>
  <c r="AW66" i="2"/>
  <c r="AV66" i="2"/>
  <c r="AU66" i="2"/>
  <c r="AT66" i="2"/>
  <c r="AS66" i="2"/>
  <c r="AR66" i="2"/>
  <c r="AW65" i="2"/>
  <c r="AV65" i="2"/>
  <c r="AU65" i="2"/>
  <c r="AT65" i="2"/>
  <c r="AS65" i="2"/>
  <c r="AR65" i="2"/>
  <c r="AW64" i="2"/>
  <c r="AV64" i="2"/>
  <c r="AU64" i="2"/>
  <c r="AT64" i="2"/>
  <c r="AS64" i="2"/>
  <c r="AR64" i="2"/>
  <c r="AW63" i="2"/>
  <c r="AV63" i="2"/>
  <c r="AU63" i="2"/>
  <c r="AT63" i="2"/>
  <c r="AS63" i="2"/>
  <c r="AR63" i="2"/>
  <c r="AW62" i="2"/>
  <c r="AV62" i="2"/>
  <c r="AU62" i="2"/>
  <c r="AT62" i="2"/>
  <c r="AS62" i="2"/>
  <c r="AR62" i="2"/>
  <c r="AW61" i="2"/>
  <c r="AV61" i="2"/>
  <c r="AU61" i="2"/>
  <c r="AT61" i="2"/>
  <c r="AS61" i="2"/>
  <c r="AR61" i="2"/>
  <c r="AW60" i="2"/>
  <c r="AV60" i="2"/>
  <c r="AU60" i="2"/>
  <c r="AT60" i="2"/>
  <c r="AS60" i="2"/>
  <c r="AR60" i="2"/>
  <c r="AW59" i="2"/>
  <c r="AV59" i="2"/>
  <c r="AU59" i="2"/>
  <c r="AT59" i="2"/>
  <c r="AS59" i="2"/>
  <c r="AR59" i="2"/>
  <c r="AW58" i="2"/>
  <c r="AV58" i="2"/>
  <c r="AU58" i="2"/>
  <c r="AT58" i="2"/>
  <c r="AS58" i="2"/>
  <c r="AR58" i="2"/>
  <c r="AW57" i="2"/>
  <c r="AV57" i="2"/>
  <c r="AU57" i="2"/>
  <c r="AT57" i="2"/>
  <c r="AS57" i="2"/>
  <c r="AR57" i="2"/>
  <c r="AW56" i="2"/>
  <c r="AV56" i="2"/>
  <c r="AU56" i="2"/>
  <c r="AT56" i="2"/>
  <c r="AS56" i="2"/>
  <c r="AR56" i="2"/>
  <c r="AW55" i="2"/>
  <c r="AV55" i="2"/>
  <c r="AU55" i="2"/>
  <c r="AT55" i="2"/>
  <c r="AS55" i="2"/>
  <c r="AR55" i="2"/>
  <c r="AW54" i="2"/>
  <c r="AV54" i="2"/>
  <c r="AU54" i="2"/>
  <c r="AT54" i="2"/>
  <c r="AS54" i="2"/>
  <c r="AR54" i="2"/>
  <c r="AW53" i="2"/>
  <c r="AV53" i="2"/>
  <c r="AU53" i="2"/>
  <c r="AT53" i="2"/>
  <c r="AS53" i="2"/>
  <c r="AR53" i="2"/>
  <c r="AW52" i="2"/>
  <c r="AV52" i="2"/>
  <c r="AU52" i="2"/>
  <c r="AT52" i="2"/>
  <c r="AS52" i="2"/>
  <c r="AR52" i="2"/>
  <c r="AW51" i="2"/>
  <c r="AV51" i="2"/>
  <c r="AU51" i="2"/>
  <c r="AT51" i="2"/>
  <c r="AS51" i="2"/>
  <c r="AR51" i="2"/>
  <c r="AW50" i="2"/>
  <c r="AV50" i="2"/>
  <c r="AU50" i="2"/>
  <c r="AT50" i="2"/>
  <c r="AS50" i="2"/>
  <c r="AR50" i="2"/>
  <c r="AW49" i="2"/>
  <c r="AV49" i="2"/>
  <c r="AU49" i="2"/>
  <c r="AT49" i="2"/>
  <c r="AS49" i="2"/>
  <c r="AR49" i="2"/>
  <c r="AW48" i="2"/>
  <c r="AV48" i="2"/>
  <c r="AU48" i="2"/>
  <c r="AT48" i="2"/>
  <c r="AS48" i="2"/>
  <c r="AR48" i="2"/>
  <c r="AW47" i="2"/>
  <c r="AV47" i="2"/>
  <c r="AU47" i="2"/>
  <c r="AT47" i="2"/>
  <c r="AS47" i="2"/>
  <c r="AR47" i="2"/>
  <c r="AW46" i="2"/>
  <c r="AV46" i="2"/>
  <c r="AU46" i="2"/>
  <c r="AT46" i="2"/>
  <c r="AS46" i="2"/>
  <c r="AR46" i="2"/>
  <c r="AW45" i="2"/>
  <c r="AV45" i="2"/>
  <c r="AU45" i="2"/>
  <c r="AT45" i="2"/>
  <c r="AS45" i="2"/>
  <c r="AR45" i="2"/>
  <c r="AW44" i="2"/>
  <c r="AV44" i="2"/>
  <c r="AU44" i="2"/>
  <c r="AT44" i="2"/>
  <c r="AS44" i="2"/>
  <c r="AR44" i="2"/>
  <c r="AW43" i="2"/>
  <c r="AV43" i="2"/>
  <c r="AU43" i="2"/>
  <c r="AT43" i="2"/>
  <c r="AS43" i="2"/>
  <c r="AR43" i="2"/>
  <c r="AW42" i="2"/>
  <c r="AV42" i="2"/>
  <c r="AU42" i="2"/>
  <c r="AT42" i="2"/>
  <c r="AS42" i="2"/>
  <c r="AR42" i="2"/>
  <c r="AW41" i="2"/>
  <c r="AV41" i="2"/>
  <c r="AU41" i="2"/>
  <c r="AT41" i="2"/>
  <c r="AS41" i="2"/>
  <c r="AR41" i="2"/>
  <c r="AW40" i="2"/>
  <c r="AV40" i="2"/>
  <c r="AU40" i="2"/>
  <c r="AT40" i="2"/>
  <c r="AS40" i="2"/>
  <c r="AR40" i="2"/>
  <c r="AW39" i="2"/>
  <c r="AV39" i="2"/>
  <c r="AU39" i="2"/>
  <c r="AT39" i="2"/>
  <c r="AS39" i="2"/>
  <c r="AR39" i="2"/>
  <c r="AW38" i="2"/>
  <c r="AV38" i="2"/>
  <c r="AU38" i="2"/>
  <c r="AT38" i="2"/>
  <c r="AS38" i="2"/>
  <c r="AR38" i="2"/>
  <c r="AW37" i="2"/>
  <c r="AV37" i="2"/>
  <c r="AU37" i="2"/>
  <c r="AT37" i="2"/>
  <c r="AS37" i="2"/>
  <c r="AR37" i="2"/>
  <c r="AW36" i="2"/>
  <c r="AV36" i="2"/>
  <c r="AU36" i="2"/>
  <c r="AT36" i="2"/>
  <c r="AS36" i="2"/>
  <c r="AR36" i="2"/>
  <c r="AW35" i="2"/>
  <c r="AV35" i="2"/>
  <c r="AU35" i="2"/>
  <c r="AT35" i="2"/>
  <c r="AS35" i="2"/>
  <c r="AR35" i="2"/>
  <c r="AW34" i="2"/>
  <c r="AV34" i="2"/>
  <c r="AU34" i="2"/>
  <c r="AT34" i="2"/>
  <c r="AS34" i="2"/>
  <c r="AR34" i="2"/>
  <c r="AW33" i="2"/>
  <c r="AV33" i="2"/>
  <c r="AU33" i="2"/>
  <c r="AT33" i="2"/>
  <c r="AS33" i="2"/>
  <c r="AR33" i="2"/>
  <c r="AW32" i="2"/>
  <c r="AV32" i="2"/>
  <c r="AU32" i="2"/>
  <c r="AT32" i="2"/>
  <c r="AS32" i="2"/>
  <c r="AR32" i="2"/>
  <c r="AW31" i="2"/>
  <c r="AV31" i="2"/>
  <c r="AU31" i="2"/>
  <c r="AT31" i="2"/>
  <c r="AS31" i="2"/>
  <c r="AW30" i="2"/>
  <c r="AV30" i="2"/>
  <c r="AU30" i="2"/>
  <c r="AT30" i="2"/>
  <c r="AS30" i="2"/>
  <c r="AR30" i="2"/>
  <c r="AW29" i="2"/>
  <c r="AV29" i="2"/>
  <c r="AU29" i="2"/>
  <c r="AT29" i="2"/>
  <c r="AS29" i="2"/>
  <c r="AR29" i="2"/>
  <c r="AW28" i="2"/>
  <c r="AV28" i="2"/>
  <c r="AU28" i="2"/>
  <c r="AT28" i="2"/>
  <c r="AS28" i="2"/>
  <c r="AR28" i="2"/>
  <c r="AW27" i="2"/>
  <c r="AV27" i="2"/>
  <c r="AU27" i="2"/>
  <c r="AT27" i="2"/>
  <c r="AS27" i="2"/>
  <c r="AR27" i="2"/>
  <c r="AW26" i="2"/>
  <c r="AV26" i="2"/>
  <c r="AU26" i="2"/>
  <c r="AT26" i="2"/>
  <c r="AS26" i="2"/>
  <c r="AR26" i="2"/>
  <c r="AW25" i="2"/>
  <c r="AV25" i="2"/>
  <c r="AU25" i="2"/>
  <c r="AT25" i="2"/>
  <c r="AS25" i="2"/>
  <c r="AR25" i="2"/>
  <c r="AW24" i="2"/>
  <c r="AV24" i="2"/>
  <c r="AU24" i="2"/>
  <c r="AT24" i="2"/>
  <c r="AS24" i="2"/>
  <c r="AR24" i="2"/>
  <c r="AW23" i="2"/>
  <c r="AV23" i="2"/>
  <c r="AU23" i="2"/>
  <c r="AT23" i="2"/>
  <c r="AS23" i="2"/>
  <c r="AR23" i="2"/>
  <c r="AW22" i="2"/>
  <c r="AV22" i="2"/>
  <c r="AU22" i="2"/>
  <c r="AT22" i="2"/>
  <c r="AS22" i="2"/>
  <c r="AR22" i="2"/>
  <c r="AW21" i="2"/>
  <c r="AV21" i="2"/>
  <c r="AU21" i="2"/>
  <c r="AT21" i="2"/>
  <c r="AS21" i="2"/>
  <c r="AR21" i="2"/>
  <c r="AW20" i="2"/>
  <c r="AV20" i="2"/>
  <c r="AU20" i="2"/>
  <c r="AT20" i="2"/>
  <c r="AS20" i="2"/>
  <c r="AR20" i="2"/>
  <c r="AW19" i="2"/>
  <c r="AV19" i="2"/>
  <c r="AU19" i="2"/>
  <c r="AT19" i="2"/>
  <c r="AS19" i="2"/>
  <c r="AR19" i="2"/>
  <c r="AW18" i="2"/>
  <c r="AV18" i="2"/>
  <c r="AU18" i="2"/>
  <c r="AT18" i="2"/>
  <c r="AS18" i="2"/>
  <c r="AR18" i="2"/>
  <c r="AW17" i="2"/>
  <c r="AV17" i="2"/>
  <c r="AU17" i="2"/>
  <c r="AT17" i="2"/>
  <c r="AS17" i="2"/>
  <c r="AR17" i="2"/>
  <c r="AW16" i="2"/>
  <c r="AV16" i="2"/>
  <c r="AU16" i="2"/>
  <c r="AT16" i="2"/>
  <c r="AS16" i="2"/>
  <c r="AR16" i="2"/>
  <c r="AV15" i="2"/>
  <c r="AU15" i="2"/>
  <c r="AT15" i="2"/>
  <c r="AS15" i="2"/>
  <c r="AR15" i="2"/>
  <c r="H12" i="2" l="1"/>
  <c r="AJ15" i="2"/>
  <c r="R12" i="2"/>
  <c r="M12" i="2"/>
  <c r="AP28" i="2"/>
  <c r="AP32" i="2"/>
  <c r="AP36" i="2"/>
  <c r="AP40" i="2"/>
  <c r="AP44" i="2"/>
  <c r="AP48" i="2"/>
  <c r="AP52" i="2"/>
  <c r="AP56" i="2"/>
  <c r="AP60" i="2"/>
  <c r="AP64" i="2"/>
  <c r="AP68" i="2"/>
  <c r="AP72" i="2"/>
  <c r="AP76" i="2"/>
  <c r="AP80" i="2"/>
  <c r="AP84" i="2"/>
  <c r="AP88" i="2"/>
  <c r="AP92" i="2"/>
  <c r="AP96" i="2"/>
  <c r="AP100" i="2"/>
  <c r="AP104" i="2"/>
  <c r="AP108" i="2"/>
  <c r="AP112" i="2"/>
  <c r="AJ21" i="2"/>
  <c r="AK21" i="2" s="1"/>
  <c r="AJ29" i="2"/>
  <c r="AK29" i="2" s="1"/>
  <c r="AJ23" i="2"/>
  <c r="AJ32" i="2"/>
  <c r="AK32" i="2" s="1"/>
  <c r="AJ38" i="2"/>
  <c r="AJ40" i="2"/>
  <c r="AK40" i="2" s="1"/>
  <c r="AJ42" i="2"/>
  <c r="AK42" i="2" s="1"/>
  <c r="AJ44" i="2"/>
  <c r="AJ46" i="2"/>
  <c r="AJ48" i="2"/>
  <c r="AK48" i="2" s="1"/>
  <c r="AJ54" i="2"/>
  <c r="AK54" i="2" s="1"/>
  <c r="AJ56" i="2"/>
  <c r="AK56" i="2" s="1"/>
  <c r="AJ58" i="2"/>
  <c r="AJ60" i="2"/>
  <c r="AK60" i="2" s="1"/>
  <c r="AJ62" i="2"/>
  <c r="AJ64" i="2"/>
  <c r="AJ70" i="2"/>
  <c r="AJ72" i="2"/>
  <c r="AK72" i="2" s="1"/>
  <c r="AJ74" i="2"/>
  <c r="AK74" i="2" s="1"/>
  <c r="AJ76" i="2"/>
  <c r="AJ78" i="2"/>
  <c r="AJ80" i="2"/>
  <c r="AK80" i="2" s="1"/>
  <c r="AJ86" i="2"/>
  <c r="AK86" i="2" s="1"/>
  <c r="AJ88" i="2"/>
  <c r="AJ90" i="2"/>
  <c r="AJ92" i="2"/>
  <c r="AJ94" i="2"/>
  <c r="AJ96" i="2"/>
  <c r="AJ102" i="2"/>
  <c r="AJ104" i="2"/>
  <c r="AJ106" i="2"/>
  <c r="AK106" i="2" s="1"/>
  <c r="AJ108" i="2"/>
  <c r="AK108" i="2" s="1"/>
  <c r="AJ110" i="2"/>
  <c r="AJ112" i="2"/>
  <c r="AK112" i="2" s="1"/>
  <c r="AJ25" i="2"/>
  <c r="AJ18" i="2"/>
  <c r="AJ22" i="2"/>
  <c r="AK22" i="2" s="1"/>
  <c r="AJ24" i="2"/>
  <c r="AK24" i="2" s="1"/>
  <c r="AJ26" i="2"/>
  <c r="AK26" i="2" s="1"/>
  <c r="AJ27" i="2"/>
  <c r="AJ28" i="2"/>
  <c r="AK28" i="2" s="1"/>
  <c r="AJ30" i="2"/>
  <c r="AK30" i="2" s="1"/>
  <c r="AJ34" i="2"/>
  <c r="AK34" i="2" s="1"/>
  <c r="AJ36" i="2"/>
  <c r="AJ41" i="2"/>
  <c r="AJ43" i="2"/>
  <c r="AJ50" i="2"/>
  <c r="AK50" i="2" s="1"/>
  <c r="AJ52" i="2"/>
  <c r="AK52" i="2" s="1"/>
  <c r="AJ57" i="2"/>
  <c r="AJ59" i="2"/>
  <c r="AK59" i="2" s="1"/>
  <c r="AJ66" i="2"/>
  <c r="AK66" i="2" s="1"/>
  <c r="AJ68" i="2"/>
  <c r="AJ73" i="2"/>
  <c r="AJ75" i="2"/>
  <c r="AJ82" i="2"/>
  <c r="AK82" i="2" s="1"/>
  <c r="AJ84" i="2"/>
  <c r="AK84" i="2" s="1"/>
  <c r="AJ89" i="2"/>
  <c r="AJ91" i="2"/>
  <c r="AK91" i="2" s="1"/>
  <c r="AJ98" i="2"/>
  <c r="AK98" i="2" s="1"/>
  <c r="AJ100" i="2"/>
  <c r="AJ105" i="2"/>
  <c r="AJ107" i="2"/>
  <c r="AJ114" i="2"/>
  <c r="AJ33" i="2"/>
  <c r="AK33" i="2" s="1"/>
  <c r="AJ35" i="2"/>
  <c r="AK35" i="2" s="1"/>
  <c r="AJ37" i="2"/>
  <c r="AJ39" i="2"/>
  <c r="AJ45" i="2"/>
  <c r="AJ47" i="2"/>
  <c r="AJ49" i="2"/>
  <c r="AJ51" i="2"/>
  <c r="AJ53" i="2"/>
  <c r="AJ55" i="2"/>
  <c r="AK55" i="2" s="1"/>
  <c r="AJ61" i="2"/>
  <c r="AK61" i="2" s="1"/>
  <c r="AJ63" i="2"/>
  <c r="AJ65" i="2"/>
  <c r="AK65" i="2" s="1"/>
  <c r="AJ67" i="2"/>
  <c r="AK67" i="2" s="1"/>
  <c r="AJ69" i="2"/>
  <c r="AJ71" i="2"/>
  <c r="AK71" i="2" s="1"/>
  <c r="AJ77" i="2"/>
  <c r="AK77" i="2" s="1"/>
  <c r="AJ79" i="2"/>
  <c r="AJ81" i="2"/>
  <c r="AJ83" i="2"/>
  <c r="AJ85" i="2"/>
  <c r="AK85" i="2" s="1"/>
  <c r="AJ87" i="2"/>
  <c r="AJ93" i="2"/>
  <c r="AJ95" i="2"/>
  <c r="AJ97" i="2"/>
  <c r="AJ99" i="2"/>
  <c r="AJ101" i="2"/>
  <c r="AK101" i="2" s="1"/>
  <c r="AJ103" i="2"/>
  <c r="AJ109" i="2"/>
  <c r="AK109" i="2" s="1"/>
  <c r="AJ111" i="2"/>
  <c r="AJ113" i="2"/>
  <c r="AK113" i="2" s="1"/>
  <c r="AP25" i="2"/>
  <c r="AP29" i="2"/>
  <c r="AP33" i="2"/>
  <c r="AP37" i="2"/>
  <c r="AP41" i="2"/>
  <c r="AP45" i="2"/>
  <c r="AP49" i="2"/>
  <c r="AP53" i="2"/>
  <c r="AP57" i="2"/>
  <c r="AP61" i="2"/>
  <c r="AP65" i="2"/>
  <c r="AP69" i="2"/>
  <c r="AP73" i="2"/>
  <c r="AP77" i="2"/>
  <c r="AP81" i="2"/>
  <c r="AP85" i="2"/>
  <c r="AP89" i="2"/>
  <c r="AP93" i="2"/>
  <c r="AP97" i="2"/>
  <c r="AP101" i="2"/>
  <c r="AP105" i="2"/>
  <c r="AP109" i="2"/>
  <c r="AP113" i="2"/>
  <c r="AP26" i="2"/>
  <c r="AP30" i="2"/>
  <c r="AP34" i="2"/>
  <c r="AP38" i="2"/>
  <c r="AP42" i="2"/>
  <c r="AP46" i="2"/>
  <c r="AP50" i="2"/>
  <c r="AP54" i="2"/>
  <c r="AP58" i="2"/>
  <c r="AP62" i="2"/>
  <c r="AP66" i="2"/>
  <c r="AP70" i="2"/>
  <c r="AP74" i="2"/>
  <c r="AP78" i="2"/>
  <c r="AP82" i="2"/>
  <c r="AP86" i="2"/>
  <c r="AP90" i="2"/>
  <c r="AP94" i="2"/>
  <c r="AP98" i="2"/>
  <c r="AP102" i="2"/>
  <c r="AP106" i="2"/>
  <c r="AP110" i="2"/>
  <c r="AP114" i="2"/>
  <c r="AP27" i="2"/>
  <c r="AP31" i="2"/>
  <c r="AP35" i="2"/>
  <c r="AP39" i="2"/>
  <c r="AP43" i="2"/>
  <c r="AP47" i="2"/>
  <c r="AP51" i="2"/>
  <c r="AP55" i="2"/>
  <c r="AP59" i="2"/>
  <c r="AP63" i="2"/>
  <c r="AP67" i="2"/>
  <c r="AP71" i="2"/>
  <c r="AP75" i="2"/>
  <c r="AP79" i="2"/>
  <c r="AP83" i="2"/>
  <c r="AP87" i="2"/>
  <c r="AP91" i="2"/>
  <c r="AP95" i="2"/>
  <c r="AP99" i="2"/>
  <c r="AP103" i="2"/>
  <c r="AP107" i="2"/>
  <c r="AP111" i="2"/>
  <c r="AJ20" i="2"/>
  <c r="AK20" i="2" s="1"/>
  <c r="AJ19" i="2"/>
  <c r="AK19" i="2" s="1"/>
  <c r="AJ17" i="2"/>
  <c r="AK17" i="2" s="1"/>
  <c r="AJ16" i="2"/>
  <c r="AK16" i="2" s="1"/>
  <c r="AG17" i="2"/>
  <c r="AP17" i="2" s="1"/>
  <c r="AG18" i="2"/>
  <c r="AP18" i="2" s="1"/>
  <c r="AG19" i="2"/>
  <c r="AP19" i="2" s="1"/>
  <c r="AG20" i="2"/>
  <c r="AP20" i="2" s="1"/>
  <c r="AG21" i="2"/>
  <c r="AP21" i="2" s="1"/>
  <c r="AG22" i="2"/>
  <c r="AP22" i="2" s="1"/>
  <c r="AG23" i="2"/>
  <c r="AP23" i="2" s="1"/>
  <c r="AG24" i="2"/>
  <c r="AP24" i="2" s="1"/>
  <c r="AG16" i="2"/>
  <c r="AP16" i="2" s="1"/>
  <c r="AK94" i="2" l="1"/>
  <c r="AK23" i="2"/>
  <c r="AK62" i="2"/>
  <c r="AK76" i="2"/>
  <c r="AK18" i="2"/>
  <c r="AK100" i="2"/>
  <c r="AK36" i="2"/>
  <c r="AK69" i="2"/>
  <c r="AK68" i="2"/>
  <c r="AK81" i="2"/>
  <c r="AK27" i="2"/>
  <c r="AK104" i="2"/>
  <c r="AK93" i="2"/>
  <c r="AK49" i="2"/>
  <c r="AK37" i="2"/>
  <c r="AK88" i="2"/>
  <c r="AK64" i="2"/>
  <c r="AK96" i="2"/>
  <c r="AK44" i="2"/>
  <c r="AK114" i="2"/>
  <c r="AK70" i="2"/>
  <c r="AK79" i="2"/>
  <c r="AK25" i="2"/>
  <c r="AK99" i="2"/>
  <c r="AK87" i="2"/>
  <c r="AK47" i="2"/>
  <c r="AK111" i="2"/>
  <c r="AK83" i="2"/>
  <c r="AK78" i="2"/>
  <c r="AK38" i="2"/>
  <c r="AK102" i="2"/>
  <c r="AK46" i="2"/>
  <c r="AK90" i="2"/>
  <c r="AK58" i="2"/>
  <c r="AK110" i="2"/>
  <c r="AK92" i="2"/>
  <c r="AK97" i="2"/>
  <c r="AK45" i="2"/>
  <c r="AK107" i="2"/>
  <c r="AK75" i="2"/>
  <c r="AK43" i="2"/>
  <c r="AK53" i="2"/>
  <c r="AK103" i="2"/>
  <c r="AK105" i="2"/>
  <c r="AK89" i="2"/>
  <c r="AK73" i="2"/>
  <c r="AK57" i="2"/>
  <c r="AK41" i="2"/>
  <c r="AK95" i="2"/>
  <c r="AK63" i="2"/>
  <c r="AK51" i="2"/>
  <c r="AK39" i="2"/>
  <c r="AK15" i="2"/>
  <c r="AR31" i="2" l="1"/>
  <c r="AJ31" i="2" s="1"/>
  <c r="AO31" i="2"/>
  <c r="AO12" i="2" s="1"/>
  <c r="AK31" i="2" l="1"/>
  <c r="AK12" i="2" s="1"/>
  <c r="AG15" i="2" l="1"/>
  <c r="AP15" i="2" s="1"/>
  <c r="AG12" i="2" l="1"/>
  <c r="AB12" i="2" l="1"/>
  <c r="W1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Infosol</author>
  </authors>
  <commentList>
    <comment ref="G15" authorId="0" shapeId="0" xr:uid="{00000000-0006-0000-0100-000001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Geladeira/Refrigerador Consul Degelo Seco 261L CRA30F Branco</t>
        </r>
      </text>
    </comment>
    <comment ref="L15" authorId="0" shapeId="0" xr:uid="{00000000-0006-0000-0100-000002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Refrigerador Consul CRA30 261 Litros Degelo Seco Branco 110v
(60)
(Cód.108770509)</t>
        </r>
      </text>
    </comment>
    <comment ref="Q15" authorId="0" shapeId="0" xr:uid="{00000000-0006-0000-0100-000003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Refrigerador Consul CRA30F com Degelo Seco e Gavetão Hortifruti - 261L - 220V</t>
        </r>
      </text>
    </comment>
    <comment ref="V15" authorId="0" shapeId="0" xr:uid="{00000000-0006-0000-0100-000004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Geladeira/Refrigerador Consul 1 Porta 261L Branco 220V - CRA30FBBNA</t>
        </r>
      </text>
    </comment>
    <comment ref="G16" authorId="0" shapeId="0" xr:uid="{00000000-0006-0000-0100-000005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Forno De Micro-ondas Electrolux Mto30 - 20l - Branco</t>
        </r>
      </text>
    </comment>
    <comment ref="L16" authorId="0" shapeId="0" xr:uid="{00000000-0006-0000-0100-000006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Micro-Ondas Midea 20L Espelhado
voltagem: 127</t>
        </r>
      </text>
    </comment>
    <comment ref="Q16" authorId="0" shapeId="0" xr:uid="{00000000-0006-0000-0100-000007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Forno de Micro-ondas Panasonic NN-ST25JW com Receitas Pré-Programadas Branco – 21 L</t>
        </r>
      </text>
    </comment>
    <comment ref="G17" authorId="0" shapeId="0" xr:uid="{00000000-0006-0000-0100-000008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Cafeteira Elétrica Britânia CP15 Xícaras - Preto e Inox
de R$ 99,90 por
R$ 69,90 à vista</t>
        </r>
      </text>
    </comment>
    <comment ref="L17" authorId="0" shapeId="0" xr:uid="{00000000-0006-0000-0100-000009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Cafeteira 15 XÍcaras Preto Com Inox BritÂnia (Cód.96054146)
R$ 79,90
em até 7x sem juros no cartão de crédito com Ame e receba R$ 1,60 de volta</t>
        </r>
      </text>
    </comment>
    <comment ref="Q17" authorId="0" shapeId="0" xr:uid="{00000000-0006-0000-0100-00000A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Cafeteira Elétrica Britânia CP15 - Preto</t>
        </r>
      </text>
    </comment>
    <comment ref="G18" authorId="0" shapeId="0" xr:uid="{00000000-0006-0000-0100-00000B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Bebedouro Gela Fácil Consul CJK40AB Branco Bivolt
Código ebj262ee09 </t>
        </r>
      </text>
    </comment>
    <comment ref="L18" authorId="0" shapeId="0" xr:uid="{00000000-0006-0000-0100-00000C000000}">
      <text>
        <r>
          <rPr>
            <b/>
            <sz val="9"/>
            <color indexed="81"/>
            <rFont val="Segoe UI"/>
            <family val="2"/>
          </rPr>
          <t>Infosol:</t>
        </r>
        <r>
          <rPr>
            <sz val="9"/>
            <color indexed="81"/>
            <rFont val="Segoe UI"/>
            <family val="2"/>
          </rPr>
          <t xml:space="preserve">
Bebedouro de Mesa EGM30 Branco - Esmaltec 110V
(24)
(Cód.315441)</t>
        </r>
      </text>
    </comment>
    <comment ref="Q18" authorId="0" shapeId="0" xr:uid="{00000000-0006-0000-0100-00000D000000}">
      <text>
        <r>
          <rPr>
            <b/>
            <sz val="9"/>
            <color indexed="81"/>
            <rFont val="Segoe UI"/>
            <family val="2"/>
          </rPr>
          <t>Infosol:
Bebedouro de Água Electrolux Bivolt BE11B – Branco(Cód. Item 11688799
2x sem juros R$209,50 
3x sem juros R$139,67 
4x sem juros R$104,75 
5x sem juros R$83,80 
6x sem juros R$69,83</t>
        </r>
      </text>
    </comment>
  </commentList>
</comments>
</file>

<file path=xl/sharedStrings.xml><?xml version="1.0" encoding="utf-8"?>
<sst xmlns="http://schemas.openxmlformats.org/spreadsheetml/2006/main" count="467" uniqueCount="251">
  <si>
    <t>INFORMAÇÕES DA SOLICITAÇÃO</t>
  </si>
  <si>
    <t>UMB</t>
  </si>
  <si>
    <t>Solicitante</t>
  </si>
  <si>
    <t>Unidades</t>
  </si>
  <si>
    <t>Elton Senne</t>
  </si>
  <si>
    <t>Rejane Lima</t>
  </si>
  <si>
    <t>Adriano Rego</t>
  </si>
  <si>
    <t>Erico Reis</t>
  </si>
  <si>
    <t xml:space="preserve">un </t>
  </si>
  <si>
    <t>Pequenas Paradas</t>
  </si>
  <si>
    <t>RL</t>
  </si>
  <si>
    <t>Paulo Gomes</t>
  </si>
  <si>
    <t>Maria Elisa</t>
  </si>
  <si>
    <t>Compr</t>
  </si>
  <si>
    <t>Valor Comprado</t>
  </si>
  <si>
    <t>Fornecedor</t>
  </si>
  <si>
    <t>Valor Mínimo</t>
  </si>
  <si>
    <t>Forma de Pagto:</t>
  </si>
  <si>
    <t>Prazo Pagto:</t>
  </si>
  <si>
    <t>Desconto:</t>
  </si>
  <si>
    <t>Descrição</t>
  </si>
  <si>
    <t>NOME DO FORNECEDOR 6</t>
  </si>
  <si>
    <t>Fornec 1</t>
  </si>
  <si>
    <t>Fornec 2</t>
  </si>
  <si>
    <t>Fornec 3</t>
  </si>
  <si>
    <t>Fornec 4</t>
  </si>
  <si>
    <t>Fornec 5</t>
  </si>
  <si>
    <t>Fornec 6</t>
  </si>
  <si>
    <t>Data:</t>
  </si>
  <si>
    <t>VALOR MÍNIMO</t>
  </si>
  <si>
    <t>VALOR COMPRADO</t>
  </si>
  <si>
    <t>Item</t>
  </si>
  <si>
    <t>Produto</t>
  </si>
  <si>
    <t>Qtd</t>
  </si>
  <si>
    <t>Valor unit</t>
  </si>
  <si>
    <t>Total</t>
  </si>
  <si>
    <t>Comprador:</t>
  </si>
  <si>
    <t>EPMAN MANUTENÇÃO E SERVIÇOS LTDA</t>
  </si>
  <si>
    <t>Avenida Luis Viana Filho, 6462, Edificio Wall Street - Salvador - BA</t>
  </si>
  <si>
    <t>CNPJ - 07.502.178/0001-80</t>
  </si>
  <si>
    <t>Vendedor:</t>
  </si>
  <si>
    <t>Telefone:</t>
  </si>
  <si>
    <t>Autorizamos o fornecimento dos materiais abaixo descritos nas condições deste Pedido de Compra</t>
  </si>
  <si>
    <t>Importante</t>
  </si>
  <si>
    <t>Requisitante:</t>
  </si>
  <si>
    <t>Valor Total</t>
  </si>
  <si>
    <t>Centro de Custo</t>
  </si>
  <si>
    <t>Centro Custo:</t>
  </si>
  <si>
    <t>Davi Ferreira</t>
  </si>
  <si>
    <t>Juliana Venturini</t>
  </si>
  <si>
    <t>Patricia Maria</t>
  </si>
  <si>
    <t>Ednaldo Luna</t>
  </si>
  <si>
    <t>kg</t>
  </si>
  <si>
    <t>l</t>
  </si>
  <si>
    <t>Comprador</t>
  </si>
  <si>
    <t>Local de Entrega</t>
  </si>
  <si>
    <t>Valor  Total</t>
  </si>
  <si>
    <t>Luis Carlos Ferreira</t>
  </si>
  <si>
    <t>Unidade</t>
  </si>
  <si>
    <t>Valor Unitário</t>
  </si>
  <si>
    <t>RNEST</t>
  </si>
  <si>
    <t>Local Entrega</t>
  </si>
  <si>
    <t>Casa Elton</t>
  </si>
  <si>
    <t>Endereço</t>
  </si>
  <si>
    <t>Entrega:</t>
  </si>
  <si>
    <t>Retirar no Fornecedor</t>
  </si>
  <si>
    <t>RNEST - Refinaria Abreu e Lima
Rodovia PE-60, km 10 - Ipojuca
Complexo Petroquimico de Suape - PE</t>
  </si>
  <si>
    <t>Condições de Pagamento</t>
  </si>
  <si>
    <t>Av Presidente Kennedy 4627/301 - Candeias
Jaboatão dos Guararapes - PE
CEP 54.430-030</t>
  </si>
  <si>
    <t>Retirar PE</t>
  </si>
  <si>
    <t>Retirar BA</t>
  </si>
  <si>
    <t>COR10000</t>
  </si>
  <si>
    <t>COR20000</t>
  </si>
  <si>
    <t>COR30000</t>
  </si>
  <si>
    <t>COR40000</t>
  </si>
  <si>
    <t>COR50000</t>
  </si>
  <si>
    <t>COR60000</t>
  </si>
  <si>
    <t>COR70000</t>
  </si>
  <si>
    <t>COR80000</t>
  </si>
  <si>
    <t>COR90000</t>
  </si>
  <si>
    <t>Sede Bahia</t>
  </si>
  <si>
    <t>Apoio Técnico UOBA</t>
  </si>
  <si>
    <t>Av. Luís Viana, 13223 - São Cristóvão, Salvador - BA, CEP 41500-300
Hangar Business - Torre 6 - Salas 3 e 4</t>
  </si>
  <si>
    <r>
      <t xml:space="preserve">As NFs devem ser enviadas para o endereço </t>
    </r>
    <r>
      <rPr>
        <b/>
        <sz val="11"/>
        <color theme="1"/>
        <rFont val="Calibri"/>
        <family val="2"/>
        <scheme val="minor"/>
      </rPr>
      <t>financeirope@epmanservicos.com.br
Ajustar as data de vencimento para os dias 05, 15 ou 25 do mês subsequente</t>
    </r>
  </si>
  <si>
    <r>
      <t xml:space="preserve">As NFs devem ser enviadas para o endereço </t>
    </r>
    <r>
      <rPr>
        <b/>
        <sz val="11"/>
        <color theme="1"/>
        <rFont val="Calibri"/>
        <family val="2"/>
        <scheme val="minor"/>
      </rPr>
      <t>financeiroba@epmanservicos.com.br
Ajustar as data de vencimento para os dias 05, 15 ou 25 do mês subsequente</t>
    </r>
  </si>
  <si>
    <t>Dimas Souza</t>
  </si>
  <si>
    <t>PRJ000010</t>
  </si>
  <si>
    <t>PRJ000020</t>
  </si>
  <si>
    <t>PRJ000030</t>
  </si>
  <si>
    <t>PRJ000040</t>
  </si>
  <si>
    <t>PRJ000050</t>
  </si>
  <si>
    <t>PRJ000060</t>
  </si>
  <si>
    <t>PRJ000070</t>
  </si>
  <si>
    <t>PRJ000080</t>
  </si>
  <si>
    <t>PRJ000090</t>
  </si>
  <si>
    <t>PRJ000100</t>
  </si>
  <si>
    <t>PRJ000110</t>
  </si>
  <si>
    <t>QSMS</t>
  </si>
  <si>
    <t>COR11000</t>
  </si>
  <si>
    <t>COR12000</t>
  </si>
  <si>
    <t>Presidencia</t>
  </si>
  <si>
    <t>Diretoria Operacional</t>
  </si>
  <si>
    <t>Financeiro</t>
  </si>
  <si>
    <t>Diretoria Comercial</t>
  </si>
  <si>
    <t>Contabilidade</t>
  </si>
  <si>
    <t>Juridico</t>
  </si>
  <si>
    <t>Planejamento Estratégico</t>
  </si>
  <si>
    <t>Corporativo</t>
  </si>
  <si>
    <t>Marketing</t>
  </si>
  <si>
    <t>Apoio Tecnico Rnest</t>
  </si>
  <si>
    <t>Manutenção Sistema de Emergência</t>
  </si>
  <si>
    <t>Serviço De Conservação UTE's</t>
  </si>
  <si>
    <t>Planejamento Manut FAFEN</t>
  </si>
  <si>
    <t>Manutenção UO-SEAL</t>
  </si>
  <si>
    <t>Apoio Tecnico e Administrativo RNEST</t>
  </si>
  <si>
    <t>Administrativo e RH</t>
  </si>
  <si>
    <t>Gestão de Andaimes RLAM</t>
  </si>
  <si>
    <t>Planejamento de Paradas</t>
  </si>
  <si>
    <t>Contenção de Vazamentos</t>
  </si>
  <si>
    <t>Linsmar André</t>
  </si>
  <si>
    <t>Paiva</t>
  </si>
  <si>
    <t>Filial Camaçari</t>
  </si>
  <si>
    <t>Filial Sergipe</t>
  </si>
  <si>
    <t>Retirar SE</t>
  </si>
  <si>
    <t>Empresarial Novo Mundo, Sala 623 - Paiva - Cabo de Santo Agostinho</t>
  </si>
  <si>
    <t>Avenida Jorge amado – Bairro: Ponto certo, Camaçari/BA 
CEP: 428011-170</t>
  </si>
  <si>
    <t>Matriz Bahia</t>
  </si>
  <si>
    <t>ADM01000</t>
  </si>
  <si>
    <t>ADM02000</t>
  </si>
  <si>
    <t>Filial Permanbuco</t>
  </si>
  <si>
    <t>ADM03000</t>
  </si>
  <si>
    <t>ADM04000</t>
  </si>
  <si>
    <t>ADM05000</t>
  </si>
  <si>
    <t>Filial Alagoas</t>
  </si>
  <si>
    <t>Filial Bahia</t>
  </si>
  <si>
    <t>Pedro Henrique</t>
  </si>
  <si>
    <t>PRC José Sampaio,70 - Centro / Sergipe</t>
  </si>
  <si>
    <t>Ricardo Bispo</t>
  </si>
  <si>
    <t>Pedro Vaz</t>
  </si>
  <si>
    <t>Maria Karolenne</t>
  </si>
  <si>
    <t>Mauricio Gonzalez</t>
  </si>
  <si>
    <t>cx</t>
  </si>
  <si>
    <t>Simão Reis</t>
  </si>
  <si>
    <t>Boleto bancário</t>
  </si>
  <si>
    <t>À Vista</t>
  </si>
  <si>
    <t>Cartão de crédito</t>
  </si>
  <si>
    <t>7dd</t>
  </si>
  <si>
    <t>Cartão de débito</t>
  </si>
  <si>
    <t>15dd</t>
  </si>
  <si>
    <t>Cheque</t>
  </si>
  <si>
    <t>30dd</t>
  </si>
  <si>
    <t>Dinheiro</t>
  </si>
  <si>
    <t>28dd</t>
  </si>
  <si>
    <t>Outro</t>
  </si>
  <si>
    <t>60dd</t>
  </si>
  <si>
    <t>Transf. Eletrônica</t>
  </si>
  <si>
    <t>90dd</t>
  </si>
  <si>
    <t>120dd</t>
  </si>
  <si>
    <t>30/60dd</t>
  </si>
  <si>
    <t>30/60/90dd</t>
  </si>
  <si>
    <t>30/60/90/120dd</t>
  </si>
  <si>
    <t>30/45/60dd</t>
  </si>
  <si>
    <t>12 parcelas</t>
  </si>
  <si>
    <t>14 parcelas</t>
  </si>
  <si>
    <t>Flávio Silva</t>
  </si>
  <si>
    <t>Daniela Ruriz</t>
  </si>
  <si>
    <t>Resma</t>
  </si>
  <si>
    <t>Vivanildo Paulo</t>
  </si>
  <si>
    <t>Sérgio Cruz</t>
  </si>
  <si>
    <t>serv</t>
  </si>
  <si>
    <t>Gisele Morais</t>
  </si>
  <si>
    <t>m³</t>
  </si>
  <si>
    <t>FORNECEDOR 5</t>
  </si>
  <si>
    <t>Gulever Ribeiro</t>
  </si>
  <si>
    <t>RC 381</t>
  </si>
  <si>
    <t>LUVA MULTITATO</t>
  </si>
  <si>
    <t>PROTETOR AURICULAR TIPO PLUG</t>
  </si>
  <si>
    <t>CARNEIRA COM JUGULAR</t>
  </si>
  <si>
    <t>MASCARA PFF2</t>
  </si>
  <si>
    <t>CADEADO 30MM</t>
  </si>
  <si>
    <t>LUVA DE MALHA PIGMENTADA</t>
  </si>
  <si>
    <t>BOTA DE SEGURANÇA BIQUEIRA DE PVC N 37</t>
  </si>
  <si>
    <t>BOTA DE SEGURANÇA BIQUEIRA DE PVC N39</t>
  </si>
  <si>
    <t>BOTA DE SEGURANÇA BIQUEIRA DE PVC N  41</t>
  </si>
  <si>
    <t>BOTA DE SEGURANÇA BIQUEIRA DE PVC N 42</t>
  </si>
  <si>
    <t>BOTA DE SEGURANÇA BIQUEIRA DE PVC N 43</t>
  </si>
  <si>
    <t>LUVA MISTA CANO LONGO</t>
  </si>
  <si>
    <t>CLORO 5L</t>
  </si>
  <si>
    <t>ODORIZADOR DE AMBIENTE 360 ML</t>
  </si>
  <si>
    <t>PASTILHA PERFUMADA SANITÁRIA</t>
  </si>
  <si>
    <t>VASSOURA PIAÇAVA</t>
  </si>
  <si>
    <t>PÁ COLETORA C/ TAMPA PROFISSIONAL COR CINZA</t>
  </si>
  <si>
    <t>PANO DE CHÃO SACO ALVEJADO</t>
  </si>
  <si>
    <t xml:space="preserve">FLANELA DE ALGODÃO </t>
  </si>
  <si>
    <t>LIMPA VIDRO 500 ML</t>
  </si>
  <si>
    <t>AÇUCAR 1KG</t>
  </si>
  <si>
    <t>POTE PARA AÇUCAR</t>
  </si>
  <si>
    <t>BANDEJA P/ CAFÉ</t>
  </si>
  <si>
    <t>POTE PARA BOLACHA</t>
  </si>
  <si>
    <t>GARRAFA PARA CAFÉ</t>
  </si>
  <si>
    <t xml:space="preserve">CAIXA DE COPO DESCARTAVEL 200 ML </t>
  </si>
  <si>
    <t>COLA BASTÃO 40G</t>
  </si>
  <si>
    <t>CANETA AZUL</t>
  </si>
  <si>
    <t>CANETA VERMELHA</t>
  </si>
  <si>
    <t>CANETA PRETA</t>
  </si>
  <si>
    <t>ESTRATOR DE GRAMPO</t>
  </si>
  <si>
    <t>TESOURA 7"</t>
  </si>
  <si>
    <t xml:space="preserve">AZUL,ROSA,VERDE,AMARELO </t>
  </si>
  <si>
    <t>FITA CREPE 48 MM</t>
  </si>
  <si>
    <t>FITA CREPE 24 MM</t>
  </si>
  <si>
    <t>FITA DUREX 48 MM</t>
  </si>
  <si>
    <t>FITA DUREX 24 MM</t>
  </si>
  <si>
    <t>CADERNO PEQUENO</t>
  </si>
  <si>
    <t>MOLHA DEDO</t>
  </si>
  <si>
    <t>GRAMPEADOR</t>
  </si>
  <si>
    <t>PILHA AAA</t>
  </si>
  <si>
    <t>PILHA AA</t>
  </si>
  <si>
    <t>PILHA D</t>
  </si>
  <si>
    <t>POST IT PEQUENO</t>
  </si>
  <si>
    <t>POST IT MÉDIO</t>
  </si>
  <si>
    <t>PRANCHETA A4</t>
  </si>
  <si>
    <t>CLIPS 3/0 CX C/ 50UN</t>
  </si>
  <si>
    <t>PASTA SUSPENSA C/ 50UN</t>
  </si>
  <si>
    <t>COLA TENAZ 110G</t>
  </si>
  <si>
    <t>FITA DUPLA FACE 12MM X 20M</t>
  </si>
  <si>
    <t>RÉGUA 30CM</t>
  </si>
  <si>
    <t>PLASTICO ADESIVO CONTACT 45CM X 25M</t>
  </si>
  <si>
    <t>ELASTICO DE AMARRAR DINHEIRO C/100</t>
  </si>
  <si>
    <t>Leandro</t>
  </si>
  <si>
    <t>81 3521-3735</t>
  </si>
  <si>
    <t>ECOLIMP</t>
  </si>
  <si>
    <t>MARCA TEXTO AZUL</t>
  </si>
  <si>
    <t>MARCA TEXTO ROSA</t>
  </si>
  <si>
    <t>MARCA TEXTO VERDE</t>
  </si>
  <si>
    <t xml:space="preserve">MARCA TEXTO AMARELO </t>
  </si>
  <si>
    <t>FITA DUPLA FACE 12MM X 20M 3M</t>
  </si>
  <si>
    <t>RESSEG</t>
  </si>
  <si>
    <t>Natanael</t>
  </si>
  <si>
    <t>(81) 3524-4220</t>
  </si>
  <si>
    <t>NEOBETEL</t>
  </si>
  <si>
    <t>X</t>
  </si>
  <si>
    <t>Juliana Silva</t>
  </si>
  <si>
    <t>(12) 3957-2252</t>
  </si>
  <si>
    <t>Malilia</t>
  </si>
  <si>
    <t>AMPLA</t>
  </si>
  <si>
    <t>EXTRATOR DE GRAMPO</t>
  </si>
  <si>
    <t>ALCOOL EM GEL 5 500ml</t>
  </si>
  <si>
    <t>ALCOOL EM GEL 5l</t>
  </si>
  <si>
    <t>PAPEL HIGIENICO BIG ROL C/8</t>
  </si>
  <si>
    <t>(81) 3299-0920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</si>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</sst>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[$-F800]dddd\,\ mmmm\ dd\,\ yyyy"/>
  </numFmts>
  <fonts count="3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FFFF00"/>
      <name val="Calibri"/>
      <family val="2"/>
      <scheme val="minor"/>
    </font>
    <font>
      <b/>
      <sz val="12"/>
      <color rgb="FFFFFF0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1"/>
      <color theme="1"/>
      <name val="Arial"/>
      <family val="2"/>
    </font>
    <font>
      <sz val="60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8"/>
      <color theme="0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/>
      <name val="Arial"/>
      <family val="2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FA7D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0"/>
      <color theme="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-0.2499465926084170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EFFB57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50">
    <border>
      <left/>
      <right/>
      <top/>
      <bottom/>
      <diagonal/>
    </border>
    <border>
      <left style="medium">
        <color theme="0" tint="-0.249977111117893"/>
      </left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/>
      <diagonal/>
    </border>
    <border>
      <left/>
      <right style="medium">
        <color theme="0" tint="-0.249977111117893"/>
      </right>
      <top style="medium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medium">
        <color theme="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77111117893"/>
      </right>
      <top/>
      <bottom/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14999847407452621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14999847407452621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1499984740745262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14999847407452621"/>
      </bottom>
      <diagonal/>
    </border>
    <border>
      <left style="thin">
        <color theme="0" tint="-0.249977111117893"/>
      </left>
      <right style="medium">
        <color theme="0" tint="-0.249977111117893"/>
      </right>
      <top style="thin">
        <color theme="0" tint="-0.249977111117893"/>
      </top>
      <bottom style="thin">
        <color theme="0" tint="-0.1499984740745262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3"/>
      </left>
      <right/>
      <top style="medium">
        <color theme="3"/>
      </top>
      <bottom style="thin">
        <color theme="0" tint="-0.249977111117893"/>
      </bottom>
      <diagonal/>
    </border>
    <border>
      <left/>
      <right/>
      <top style="medium">
        <color theme="3"/>
      </top>
      <bottom style="thin">
        <color theme="0" tint="-0.249977111117893"/>
      </bottom>
      <diagonal/>
    </border>
    <border>
      <left/>
      <right style="medium">
        <color theme="3"/>
      </right>
      <top style="medium">
        <color theme="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FF0000"/>
      </left>
      <right/>
      <top style="thin">
        <color rgb="FFFF0000"/>
      </top>
      <bottom/>
      <diagonal/>
    </border>
    <border>
      <left/>
      <right/>
      <top style="thin">
        <color rgb="FFFF0000"/>
      </top>
      <bottom/>
      <diagonal/>
    </border>
    <border>
      <left/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/>
      <top/>
      <bottom style="thin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 style="thin">
        <color rgb="FFFF0000"/>
      </right>
      <top/>
      <bottom style="thin">
        <color rgb="FFFF0000"/>
      </bottom>
      <diagonal/>
    </border>
    <border>
      <left style="thin">
        <color rgb="FFFF0000"/>
      </left>
      <right/>
      <top/>
      <bottom/>
      <diagonal/>
    </border>
    <border>
      <left/>
      <right style="thin">
        <color rgb="FFFF0000"/>
      </right>
      <top/>
      <bottom/>
      <diagonal/>
    </border>
    <border>
      <left style="thin">
        <color theme="0" tint="-0.249977111117893"/>
      </left>
      <right style="thin">
        <color theme="0" tint="-0.34998626667073579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hair">
        <color indexed="64"/>
      </left>
      <right/>
      <top style="thin">
        <color auto="1"/>
      </top>
      <bottom style="hair">
        <color auto="1"/>
      </bottom>
      <diagonal/>
    </border>
  </borders>
  <cellStyleXfs count="1">
    <xf numFmtId="0" fontId="0" fillId="0" borderId="0"/>
  </cellStyleXfs>
  <cellXfs count="187">
    <xf numFmtId="0" fontId="0" fillId="0" borderId="0" xfId="0"/>
    <xf numFmtId="0" fontId="0" fillId="0" borderId="0" xfId="0" applyFill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0" xfId="0" applyAlignment="1">
      <alignment vertical="center"/>
    </xf>
    <xf numFmtId="164" fontId="3" fillId="3" borderId="5" xfId="0" applyNumberFormat="1" applyFont="1" applyFill="1" applyBorder="1" applyAlignment="1">
      <alignment vertical="center"/>
    </xf>
    <xf numFmtId="0" fontId="1" fillId="0" borderId="0" xfId="0" applyFont="1" applyFill="1" applyAlignment="1">
      <alignment vertical="center"/>
    </xf>
    <xf numFmtId="0" fontId="1" fillId="0" borderId="0" xfId="0" applyFont="1" applyFill="1" applyBorder="1" applyAlignment="1">
      <alignment vertical="center"/>
    </xf>
    <xf numFmtId="0" fontId="0" fillId="0" borderId="6" xfId="0" applyFill="1" applyBorder="1" applyAlignment="1">
      <alignment vertical="center"/>
    </xf>
    <xf numFmtId="164" fontId="0" fillId="0" borderId="4" xfId="0" applyNumberFormat="1" applyFill="1" applyBorder="1" applyAlignment="1">
      <alignment vertical="center"/>
    </xf>
    <xf numFmtId="164" fontId="0" fillId="0" borderId="7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164" fontId="0" fillId="0" borderId="7" xfId="0" applyNumberFormat="1" applyFill="1" applyBorder="1" applyAlignment="1">
      <alignment horizontal="center" vertical="center"/>
    </xf>
    <xf numFmtId="0" fontId="0" fillId="0" borderId="4" xfId="0" applyNumberFormat="1" applyFill="1" applyBorder="1" applyAlignment="1">
      <alignment horizontal="left" vertical="center"/>
    </xf>
    <xf numFmtId="164" fontId="0" fillId="0" borderId="4" xfId="0" applyNumberFormat="1" applyFill="1" applyBorder="1" applyAlignment="1">
      <alignment horizontal="left" vertical="center"/>
    </xf>
    <xf numFmtId="164" fontId="0" fillId="0" borderId="0" xfId="0" applyNumberFormat="1" applyAlignment="1">
      <alignment vertical="center"/>
    </xf>
    <xf numFmtId="0" fontId="0" fillId="0" borderId="6" xfId="0" applyFill="1" applyBorder="1" applyAlignment="1">
      <alignment horizontal="right" vertical="center"/>
    </xf>
    <xf numFmtId="0" fontId="0" fillId="0" borderId="0" xfId="0" applyAlignment="1">
      <alignment vertical="center" textRotation="90"/>
    </xf>
    <xf numFmtId="0" fontId="6" fillId="0" borderId="0" xfId="0" applyFont="1" applyAlignment="1">
      <alignment vertical="center"/>
    </xf>
    <xf numFmtId="0" fontId="6" fillId="0" borderId="0" xfId="0" applyFont="1" applyFill="1" applyBorder="1" applyAlignment="1">
      <alignment vertical="center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9" fillId="0" borderId="0" xfId="0" applyFont="1" applyFill="1" applyAlignment="1">
      <alignment vertical="center"/>
    </xf>
    <xf numFmtId="0" fontId="9" fillId="0" borderId="0" xfId="0" applyFont="1" applyAlignment="1">
      <alignment vertical="center"/>
    </xf>
    <xf numFmtId="0" fontId="10" fillId="3" borderId="9" xfId="0" applyFont="1" applyFill="1" applyBorder="1" applyAlignment="1">
      <alignment vertical="center"/>
    </xf>
    <xf numFmtId="0" fontId="10" fillId="3" borderId="10" xfId="0" applyFont="1" applyFill="1" applyBorder="1" applyAlignment="1">
      <alignment horizontal="right" vertical="center"/>
    </xf>
    <xf numFmtId="0" fontId="10" fillId="3" borderId="8" xfId="0" applyFont="1" applyFill="1" applyBorder="1" applyAlignment="1">
      <alignment vertical="center"/>
    </xf>
    <xf numFmtId="0" fontId="10" fillId="0" borderId="0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10" fillId="3" borderId="0" xfId="0" applyFont="1" applyFill="1" applyBorder="1" applyAlignment="1">
      <alignment vertical="center"/>
    </xf>
    <xf numFmtId="0" fontId="6" fillId="0" borderId="11" xfId="0" applyFont="1" applyBorder="1" applyAlignment="1">
      <alignment horizontal="center" vertical="center"/>
    </xf>
    <xf numFmtId="165" fontId="6" fillId="0" borderId="11" xfId="0" applyNumberFormat="1" applyFont="1" applyBorder="1" applyAlignment="1">
      <alignment horizontal="center" vertical="center"/>
    </xf>
    <xf numFmtId="0" fontId="0" fillId="0" borderId="17" xfId="0" applyFill="1" applyBorder="1" applyAlignment="1">
      <alignment vertical="center"/>
    </xf>
    <xf numFmtId="0" fontId="0" fillId="0" borderId="11" xfId="0" applyFill="1" applyBorder="1" applyAlignment="1">
      <alignment vertical="center"/>
    </xf>
    <xf numFmtId="164" fontId="5" fillId="3" borderId="0" xfId="0" applyNumberFormat="1" applyFont="1" applyFill="1" applyBorder="1" applyAlignment="1">
      <alignment vertical="center"/>
    </xf>
    <xf numFmtId="0" fontId="11" fillId="4" borderId="15" xfId="0" applyFont="1" applyFill="1" applyBorder="1" applyAlignment="1">
      <alignment horizontal="centerContinuous" vertical="center"/>
    </xf>
    <xf numFmtId="0" fontId="11" fillId="4" borderId="16" xfId="0" applyFont="1" applyFill="1" applyBorder="1" applyAlignment="1">
      <alignment horizontal="centerContinuous" vertical="center"/>
    </xf>
    <xf numFmtId="0" fontId="11" fillId="4" borderId="14" xfId="0" applyFont="1" applyFill="1" applyBorder="1" applyAlignment="1">
      <alignment horizontal="centerContinuous" vertical="center"/>
    </xf>
    <xf numFmtId="0" fontId="12" fillId="0" borderId="0" xfId="0" applyFont="1" applyFill="1" applyAlignment="1">
      <alignment vertical="center"/>
    </xf>
    <xf numFmtId="0" fontId="13" fillId="3" borderId="1" xfId="0" applyFont="1" applyFill="1" applyBorder="1" applyAlignment="1">
      <alignment vertical="center"/>
    </xf>
    <xf numFmtId="0" fontId="13" fillId="3" borderId="2" xfId="0" applyFont="1" applyFill="1" applyBorder="1" applyAlignment="1">
      <alignment vertical="center"/>
    </xf>
    <xf numFmtId="0" fontId="13" fillId="3" borderId="3" xfId="0" applyFont="1" applyFill="1" applyBorder="1" applyAlignment="1">
      <alignment vertical="center"/>
    </xf>
    <xf numFmtId="0" fontId="7" fillId="0" borderId="18" xfId="0" applyFont="1" applyFill="1" applyBorder="1" applyAlignment="1">
      <alignment vertical="center"/>
    </xf>
    <xf numFmtId="0" fontId="7" fillId="0" borderId="13" xfId="0" applyFont="1" applyFill="1" applyBorder="1" applyAlignment="1">
      <alignment vertical="center"/>
    </xf>
    <xf numFmtId="0" fontId="7" fillId="0" borderId="19" xfId="0" applyFont="1" applyFill="1" applyBorder="1" applyAlignment="1">
      <alignment vertical="center"/>
    </xf>
    <xf numFmtId="0" fontId="7" fillId="0" borderId="0" xfId="0" applyFont="1" applyFill="1" applyAlignment="1">
      <alignment vertical="center"/>
    </xf>
    <xf numFmtId="0" fontId="7" fillId="0" borderId="0" xfId="0" applyFont="1" applyAlignment="1">
      <alignment vertical="center" textRotation="90"/>
    </xf>
    <xf numFmtId="0" fontId="7" fillId="0" borderId="0" xfId="0" applyFont="1" applyAlignment="1">
      <alignment horizontal="center" vertical="center"/>
    </xf>
    <xf numFmtId="0" fontId="10" fillId="3" borderId="2" xfId="0" applyFont="1" applyFill="1" applyBorder="1" applyAlignment="1">
      <alignment vertical="center"/>
    </xf>
    <xf numFmtId="0" fontId="10" fillId="0" borderId="0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left" vertical="center"/>
    </xf>
    <xf numFmtId="0" fontId="10" fillId="3" borderId="4" xfId="0" applyFont="1" applyFill="1" applyBorder="1" applyAlignment="1">
      <alignment horizontal="left" vertical="center"/>
    </xf>
    <xf numFmtId="0" fontId="10" fillId="0" borderId="0" xfId="0" applyFont="1" applyFill="1" applyBorder="1" applyAlignment="1">
      <alignment horizontal="left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4" fillId="0" borderId="23" xfId="0" applyFont="1" applyFill="1" applyBorder="1" applyAlignment="1">
      <alignment horizontal="center" vertical="center"/>
    </xf>
    <xf numFmtId="0" fontId="0" fillId="0" borderId="4" xfId="0" applyBorder="1"/>
    <xf numFmtId="0" fontId="0" fillId="0" borderId="4" xfId="0" applyFont="1" applyBorder="1" applyAlignment="1">
      <alignment horizontal="center"/>
    </xf>
    <xf numFmtId="0" fontId="0" fillId="0" borderId="4" xfId="0" applyFill="1" applyBorder="1"/>
    <xf numFmtId="0" fontId="0" fillId="0" borderId="4" xfId="0" applyFont="1" applyFill="1" applyBorder="1" applyAlignment="1">
      <alignment horizontal="center"/>
    </xf>
    <xf numFmtId="0" fontId="0" fillId="0" borderId="4" xfId="0" applyFill="1" applyBorder="1" applyAlignment="1">
      <alignment vertical="center"/>
    </xf>
    <xf numFmtId="0" fontId="0" fillId="0" borderId="4" xfId="0" applyFill="1" applyBorder="1" applyAlignment="1">
      <alignment horizontal="center" vertical="center"/>
    </xf>
    <xf numFmtId="0" fontId="4" fillId="0" borderId="25" xfId="0" applyFont="1" applyFill="1" applyBorder="1" applyAlignment="1">
      <alignment horizontal="center" vertical="center"/>
    </xf>
    <xf numFmtId="0" fontId="0" fillId="0" borderId="26" xfId="0" applyFill="1" applyBorder="1" applyAlignment="1">
      <alignment vertical="center"/>
    </xf>
    <xf numFmtId="165" fontId="6" fillId="0" borderId="0" xfId="0" applyNumberFormat="1" applyFont="1" applyBorder="1" applyAlignment="1">
      <alignment horizontal="center" vertical="center"/>
    </xf>
    <xf numFmtId="0" fontId="14" fillId="0" borderId="0" xfId="0" applyFont="1" applyBorder="1" applyAlignment="1">
      <alignment horizontal="right" vertical="center"/>
    </xf>
    <xf numFmtId="0" fontId="10" fillId="3" borderId="10" xfId="0" applyFont="1" applyFill="1" applyBorder="1" applyAlignment="1">
      <alignment vertical="center"/>
    </xf>
    <xf numFmtId="0" fontId="10" fillId="3" borderId="28" xfId="0" applyFont="1" applyFill="1" applyBorder="1" applyAlignment="1">
      <alignment horizontal="right" vertical="center"/>
    </xf>
    <xf numFmtId="0" fontId="10" fillId="3" borderId="22" xfId="0" applyFont="1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27" xfId="0" applyFill="1" applyBorder="1" applyAlignment="1">
      <alignment horizontal="center" vertical="center"/>
    </xf>
    <xf numFmtId="0" fontId="10" fillId="3" borderId="20" xfId="0" applyFont="1" applyFill="1" applyBorder="1" applyAlignment="1">
      <alignment horizontal="center" vertical="center"/>
    </xf>
    <xf numFmtId="0" fontId="7" fillId="0" borderId="0" xfId="0" applyFont="1" applyAlignment="1">
      <alignment horizontal="centerContinuous" vertical="center"/>
    </xf>
    <xf numFmtId="0" fontId="2" fillId="5" borderId="8" xfId="0" applyFont="1" applyFill="1" applyBorder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Alignment="1">
      <alignment horizontal="centerContinuous" vertical="center"/>
    </xf>
    <xf numFmtId="0" fontId="19" fillId="0" borderId="0" xfId="0" applyFont="1" applyAlignment="1">
      <alignment vertical="center"/>
    </xf>
    <xf numFmtId="0" fontId="2" fillId="5" borderId="9" xfId="0" applyFont="1" applyFill="1" applyBorder="1" applyAlignment="1">
      <alignment vertical="center"/>
    </xf>
    <xf numFmtId="0" fontId="2" fillId="5" borderId="10" xfId="0" applyFont="1" applyFill="1" applyBorder="1" applyAlignment="1">
      <alignment vertical="center"/>
    </xf>
    <xf numFmtId="0" fontId="2" fillId="5" borderId="8" xfId="0" applyFont="1" applyFill="1" applyBorder="1" applyAlignment="1">
      <alignment horizontal="right" vertical="center"/>
    </xf>
    <xf numFmtId="44" fontId="16" fillId="6" borderId="0" xfId="0" applyNumberFormat="1" applyFont="1" applyFill="1" applyAlignment="1">
      <alignment vertical="center"/>
    </xf>
    <xf numFmtId="0" fontId="21" fillId="6" borderId="0" xfId="0" applyFont="1" applyFill="1" applyAlignment="1">
      <alignment vertical="center"/>
    </xf>
    <xf numFmtId="0" fontId="16" fillId="6" borderId="0" xfId="0" applyFont="1" applyFill="1" applyAlignment="1">
      <alignment vertical="center"/>
    </xf>
    <xf numFmtId="0" fontId="22" fillId="0" borderId="0" xfId="0" applyFont="1" applyAlignment="1">
      <alignment vertical="center"/>
    </xf>
    <xf numFmtId="0" fontId="23" fillId="0" borderId="29" xfId="0" applyFont="1" applyBorder="1" applyAlignment="1">
      <alignment horizontal="centerContinuous" vertical="center"/>
    </xf>
    <xf numFmtId="0" fontId="1" fillId="0" borderId="29" xfId="0" applyFont="1" applyBorder="1" applyAlignment="1">
      <alignment horizontal="centerContinuous" vertical="center"/>
    </xf>
    <xf numFmtId="0" fontId="1" fillId="0" borderId="0" xfId="0" applyFont="1" applyBorder="1" applyAlignment="1">
      <alignment vertical="center"/>
    </xf>
    <xf numFmtId="0" fontId="24" fillId="0" borderId="0" xfId="0" applyFont="1" applyBorder="1" applyAlignment="1">
      <alignment vertical="center"/>
    </xf>
    <xf numFmtId="0" fontId="24" fillId="0" borderId="0" xfId="0" applyFont="1" applyBorder="1" applyAlignment="1">
      <alignment horizontal="right" vertical="center"/>
    </xf>
    <xf numFmtId="0" fontId="24" fillId="0" borderId="0" xfId="0" applyFont="1" applyBorder="1" applyAlignment="1">
      <alignment horizontal="left" vertical="center"/>
    </xf>
    <xf numFmtId="0" fontId="24" fillId="0" borderId="0" xfId="0" applyFont="1" applyAlignment="1">
      <alignment vertical="center"/>
    </xf>
    <xf numFmtId="0" fontId="24" fillId="0" borderId="0" xfId="0" applyFont="1" applyAlignment="1">
      <alignment horizontal="left" vertical="center"/>
    </xf>
    <xf numFmtId="0" fontId="25" fillId="0" borderId="0" xfId="0" applyFont="1" applyAlignment="1">
      <alignment vertical="center"/>
    </xf>
    <xf numFmtId="0" fontId="24" fillId="0" borderId="32" xfId="0" applyFont="1" applyBorder="1" applyAlignment="1">
      <alignment vertical="center"/>
    </xf>
    <xf numFmtId="0" fontId="24" fillId="0" borderId="33" xfId="0" applyFont="1" applyBorder="1" applyAlignment="1">
      <alignment vertical="center"/>
    </xf>
    <xf numFmtId="0" fontId="24" fillId="0" borderId="31" xfId="0" applyFont="1" applyBorder="1" applyAlignment="1">
      <alignment vertical="center"/>
    </xf>
    <xf numFmtId="0" fontId="25" fillId="0" borderId="0" xfId="0" applyFont="1" applyAlignment="1">
      <alignment horizontal="left" vertical="center"/>
    </xf>
    <xf numFmtId="0" fontId="24" fillId="0" borderId="0" xfId="0" applyFont="1" applyAlignment="1">
      <alignment horizontal="centerContinuous" vertical="center"/>
    </xf>
    <xf numFmtId="0" fontId="24" fillId="0" borderId="8" xfId="0" applyFont="1" applyBorder="1" applyAlignment="1">
      <alignment horizontal="center" vertical="center"/>
    </xf>
    <xf numFmtId="0" fontId="24" fillId="0" borderId="9" xfId="0" applyFont="1" applyBorder="1" applyAlignment="1">
      <alignment vertical="center"/>
    </xf>
    <xf numFmtId="0" fontId="24" fillId="0" borderId="10" xfId="0" applyFont="1" applyBorder="1" applyAlignment="1">
      <alignment vertical="center"/>
    </xf>
    <xf numFmtId="4" fontId="24" fillId="0" borderId="8" xfId="0" applyNumberFormat="1" applyFont="1" applyBorder="1" applyAlignment="1">
      <alignment vertical="center"/>
    </xf>
    <xf numFmtId="0" fontId="26" fillId="0" borderId="0" xfId="0" applyFont="1" applyBorder="1" applyAlignment="1">
      <alignment horizontal="centerContinuous" vertical="center"/>
    </xf>
    <xf numFmtId="0" fontId="0" fillId="0" borderId="0" xfId="0" applyFont="1" applyAlignment="1">
      <alignment vertical="center"/>
    </xf>
    <xf numFmtId="14" fontId="9" fillId="0" borderId="0" xfId="0" applyNumberFormat="1" applyFont="1" applyFill="1" applyAlignment="1">
      <alignment vertical="center"/>
    </xf>
    <xf numFmtId="14" fontId="24" fillId="0" borderId="0" xfId="0" applyNumberFormat="1" applyFont="1" applyBorder="1" applyAlignment="1">
      <alignment vertical="center"/>
    </xf>
    <xf numFmtId="0" fontId="10" fillId="3" borderId="34" xfId="0" applyFont="1" applyFill="1" applyBorder="1" applyAlignment="1">
      <alignment horizontal="centerContinuous" vertical="center"/>
    </xf>
    <xf numFmtId="0" fontId="10" fillId="3" borderId="35" xfId="0" applyFont="1" applyFill="1" applyBorder="1" applyAlignment="1">
      <alignment horizontal="centerContinuous" vertical="center"/>
    </xf>
    <xf numFmtId="0" fontId="10" fillId="3" borderId="36" xfId="0" applyFont="1" applyFill="1" applyBorder="1" applyAlignment="1">
      <alignment horizontal="centerContinuous" vertical="center"/>
    </xf>
    <xf numFmtId="0" fontId="27" fillId="0" borderId="0" xfId="0" applyFont="1" applyAlignment="1">
      <alignment horizontal="centerContinuous" vertical="center"/>
    </xf>
    <xf numFmtId="0" fontId="27" fillId="0" borderId="0" xfId="0" applyFont="1" applyAlignment="1">
      <alignment vertical="center"/>
    </xf>
    <xf numFmtId="0" fontId="27" fillId="0" borderId="0" xfId="0" applyFont="1" applyBorder="1" applyAlignment="1">
      <alignment vertical="center"/>
    </xf>
    <xf numFmtId="0" fontId="27" fillId="0" borderId="0" xfId="0" applyFont="1" applyAlignment="1">
      <alignment horizontal="left" vertical="center"/>
    </xf>
    <xf numFmtId="0" fontId="15" fillId="0" borderId="0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7" fillId="0" borderId="17" xfId="0" applyFont="1" applyFill="1" applyBorder="1" applyAlignment="1">
      <alignment vertical="center"/>
    </xf>
    <xf numFmtId="0" fontId="7" fillId="0" borderId="11" xfId="0" applyFont="1" applyFill="1" applyBorder="1" applyAlignment="1">
      <alignment vertical="center"/>
    </xf>
    <xf numFmtId="0" fontId="9" fillId="0" borderId="0" xfId="0" applyFont="1" applyFill="1" applyAlignment="1">
      <alignment horizontal="right" vertical="center"/>
    </xf>
    <xf numFmtId="14" fontId="24" fillId="0" borderId="0" xfId="0" applyNumberFormat="1" applyFont="1" applyBorder="1" applyAlignment="1">
      <alignment horizontal="left" vertical="center"/>
    </xf>
    <xf numFmtId="0" fontId="20" fillId="8" borderId="0" xfId="0" applyFont="1" applyFill="1" applyBorder="1" applyAlignment="1">
      <alignment vertical="center"/>
    </xf>
    <xf numFmtId="0" fontId="20" fillId="8" borderId="39" xfId="0" applyFont="1" applyFill="1" applyBorder="1" applyAlignment="1">
      <alignment vertical="center"/>
    </xf>
    <xf numFmtId="0" fontId="20" fillId="8" borderId="40" xfId="0" applyFont="1" applyFill="1" applyBorder="1" applyAlignment="1">
      <alignment vertical="center"/>
    </xf>
    <xf numFmtId="0" fontId="20" fillId="8" borderId="41" xfId="0" applyFont="1" applyFill="1" applyBorder="1" applyAlignment="1">
      <alignment vertical="center"/>
    </xf>
    <xf numFmtId="0" fontId="20" fillId="8" borderId="42" xfId="0" applyFont="1" applyFill="1" applyBorder="1" applyAlignment="1">
      <alignment vertical="center"/>
    </xf>
    <xf numFmtId="0" fontId="20" fillId="8" borderId="43" xfId="0" applyFont="1" applyFill="1" applyBorder="1" applyAlignment="1">
      <alignment vertical="center"/>
    </xf>
    <xf numFmtId="0" fontId="20" fillId="8" borderId="44" xfId="0" applyFont="1" applyFill="1" applyBorder="1" applyAlignment="1">
      <alignment vertical="center"/>
    </xf>
    <xf numFmtId="0" fontId="30" fillId="0" borderId="0" xfId="0" applyFont="1" applyAlignment="1">
      <alignment horizontal="centerContinuous" vertical="center"/>
    </xf>
    <xf numFmtId="0" fontId="6" fillId="0" borderId="0" xfId="0" applyFont="1" applyAlignment="1">
      <alignment horizontal="centerContinuous" vertical="center"/>
    </xf>
    <xf numFmtId="0" fontId="0" fillId="2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8" fillId="0" borderId="12" xfId="0" applyFont="1" applyBorder="1" applyAlignment="1">
      <alignment horizontal="center" vertical="center"/>
    </xf>
    <xf numFmtId="165" fontId="8" fillId="0" borderId="12" xfId="0" applyNumberFormat="1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8" fillId="0" borderId="13" xfId="0" applyFont="1" applyBorder="1" applyAlignment="1">
      <alignment horizontal="center" vertical="center"/>
    </xf>
    <xf numFmtId="0" fontId="20" fillId="8" borderId="45" xfId="0" applyFont="1" applyFill="1" applyBorder="1" applyAlignment="1">
      <alignment vertical="center"/>
    </xf>
    <xf numFmtId="0" fontId="20" fillId="8" borderId="46" xfId="0" applyFont="1" applyFill="1" applyBorder="1" applyAlignment="1">
      <alignment vertical="center"/>
    </xf>
    <xf numFmtId="0" fontId="31" fillId="0" borderId="30" xfId="0" applyFont="1" applyBorder="1" applyAlignment="1">
      <alignment vertical="center"/>
    </xf>
    <xf numFmtId="14" fontId="18" fillId="9" borderId="0" xfId="0" applyNumberFormat="1" applyFont="1" applyFill="1" applyBorder="1" applyAlignment="1">
      <alignment horizontal="center" vertical="center"/>
    </xf>
    <xf numFmtId="0" fontId="18" fillId="9" borderId="0" xfId="0" applyFont="1" applyFill="1" applyBorder="1" applyAlignment="1">
      <alignment horizontal="center" vertical="center"/>
    </xf>
    <xf numFmtId="0" fontId="18" fillId="9" borderId="0" xfId="0" applyFont="1" applyFill="1" applyAlignment="1">
      <alignment horizontal="center" vertical="center"/>
    </xf>
    <xf numFmtId="0" fontId="18" fillId="9" borderId="0" xfId="0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6" xfId="0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13" fillId="0" borderId="0" xfId="0" applyFont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0" borderId="0" xfId="0" applyFont="1" applyAlignment="1">
      <alignment horizontal="left" vertical="center"/>
    </xf>
    <xf numFmtId="0" fontId="0" fillId="0" borderId="47" xfId="0" applyBorder="1"/>
    <xf numFmtId="0" fontId="0" fillId="0" borderId="48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0" fillId="0" borderId="4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164" fontId="0" fillId="0" borderId="4" xfId="0" applyNumberFormat="1" applyBorder="1" applyAlignment="1">
      <alignment vertical="center"/>
    </xf>
    <xf numFmtId="0" fontId="29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10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vertical="center"/>
    </xf>
    <xf numFmtId="164" fontId="10" fillId="3" borderId="8" xfId="0" applyNumberFormat="1" applyFont="1" applyFill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 vertical="center" wrapText="1"/>
    </xf>
    <xf numFmtId="3" fontId="0" fillId="0" borderId="48" xfId="0" applyNumberFormat="1" applyBorder="1" applyAlignment="1">
      <alignment horizontal="center" vertical="center"/>
    </xf>
    <xf numFmtId="0" fontId="10" fillId="3" borderId="0" xfId="0" applyFont="1" applyFill="1" applyBorder="1" applyAlignment="1">
      <alignment horizontal="center" vertical="center"/>
    </xf>
    <xf numFmtId="0" fontId="10" fillId="3" borderId="21" xfId="0" applyFont="1" applyFill="1" applyBorder="1" applyAlignment="1">
      <alignment horizontal="center" vertical="center"/>
    </xf>
    <xf numFmtId="0" fontId="0" fillId="0" borderId="0" xfId="0" applyFont="1" applyBorder="1" applyAlignment="1">
      <alignment vertical="center"/>
    </xf>
    <xf numFmtId="0" fontId="34" fillId="0" borderId="0" xfId="0" applyFont="1" applyAlignment="1">
      <alignment vertical="center"/>
    </xf>
    <xf numFmtId="0" fontId="0" fillId="0" borderId="4" xfId="0" applyBorder="1" applyAlignment="1">
      <alignment wrapText="1"/>
    </xf>
    <xf numFmtId="0" fontId="0" fillId="0" borderId="4" xfId="0" applyFont="1" applyBorder="1" applyAlignment="1">
      <alignment horizontal="center" vertical="center"/>
    </xf>
    <xf numFmtId="0" fontId="0" fillId="10" borderId="4" xfId="0" applyFill="1" applyBorder="1" applyAlignment="1">
      <alignment wrapText="1"/>
    </xf>
    <xf numFmtId="0" fontId="0" fillId="10" borderId="4" xfId="0" applyFont="1" applyFill="1" applyBorder="1" applyAlignment="1">
      <alignment horizontal="center" vertical="center"/>
    </xf>
    <xf numFmtId="0" fontId="0" fillId="10" borderId="24" xfId="0" applyFill="1" applyBorder="1" applyAlignment="1">
      <alignment horizontal="center" vertical="center"/>
    </xf>
    <xf numFmtId="0" fontId="0" fillId="10" borderId="4" xfId="0" applyFill="1" applyBorder="1"/>
    <xf numFmtId="0" fontId="37" fillId="11" borderId="49" xfId="0" applyFont="1" applyFill="1" applyBorder="1" applyAlignment="1" applyProtection="1">
      <alignment vertical="top" wrapText="1"/>
      <protection locked="0"/>
    </xf>
    <xf numFmtId="0" fontId="37" fillId="11" borderId="49" xfId="0" applyFont="1" applyFill="1" applyBorder="1" applyAlignment="1" applyProtection="1">
      <alignment vertical="center"/>
      <protection locked="0"/>
    </xf>
    <xf numFmtId="0" fontId="0" fillId="10" borderId="4" xfId="0" applyFill="1" applyBorder="1" applyAlignment="1">
      <alignment vertical="top" wrapText="1"/>
    </xf>
    <xf numFmtId="0" fontId="10" fillId="3" borderId="34" xfId="0" applyFont="1" applyFill="1" applyBorder="1" applyAlignment="1">
      <alignment horizontal="center" vertical="center"/>
    </xf>
    <xf numFmtId="0" fontId="10" fillId="3" borderId="35" xfId="0" applyFont="1" applyFill="1" applyBorder="1" applyAlignment="1">
      <alignment horizontal="center" vertical="center"/>
    </xf>
    <xf numFmtId="0" fontId="10" fillId="3" borderId="36" xfId="0" applyFont="1" applyFill="1" applyBorder="1" applyAlignment="1">
      <alignment horizontal="center" vertical="center"/>
    </xf>
    <xf numFmtId="0" fontId="28" fillId="7" borderId="37" xfId="0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0" fontId="24" fillId="0" borderId="30" xfId="0" applyFont="1" applyBorder="1" applyAlignment="1">
      <alignment horizontal="left" vertical="center" wrapText="1"/>
    </xf>
    <xf numFmtId="0" fontId="24" fillId="0" borderId="32" xfId="0" applyFont="1" applyBorder="1" applyAlignment="1">
      <alignment horizontal="left" vertical="center" wrapText="1"/>
    </xf>
    <xf numFmtId="0" fontId="24" fillId="0" borderId="31" xfId="0" applyFont="1" applyBorder="1" applyAlignment="1">
      <alignment horizontal="left" vertical="center" wrapText="1"/>
    </xf>
  </cellXfs>
  <cellStyles count="1">
    <cellStyle name="Normal" xfId="0" builtinId="0"/>
  </cellStyles>
  <dxfs count="1"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FFB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</xdr:colOff>
          <xdr:row>9</xdr:row>
          <xdr:rowOff>0</xdr:rowOff>
        </xdr:from>
        <xdr:to>
          <xdr:col>0</xdr:col>
          <xdr:colOff>762000</xdr:colOff>
          <xdr:row>10</xdr:row>
          <xdr:rowOff>76200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Pedido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</xdr:col>
      <xdr:colOff>1285876</xdr:colOff>
      <xdr:row>4</xdr:row>
      <xdr:rowOff>73051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0"/>
          <a:ext cx="1682750" cy="93030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3"/>
  <dimension ref="A1:P29"/>
  <sheetViews>
    <sheetView topLeftCell="A9" zoomScale="75" zoomScaleNormal="75" workbookViewId="0">
      <selection activeCell="A26" sqref="A26"/>
    </sheetView>
  </sheetViews>
  <sheetFormatPr defaultColWidth="9.109375" defaultRowHeight="14.4" x14ac:dyDescent="0.3"/>
  <cols>
    <col min="1" max="1" width="18.44140625" style="3" customWidth="1"/>
    <col min="2" max="2" width="4.6640625" style="3" customWidth="1"/>
    <col min="3" max="3" width="35.5546875" style="3" bestFit="1" customWidth="1"/>
    <col min="4" max="4" width="16.6640625" style="3" customWidth="1"/>
    <col min="5" max="5" width="4.6640625" style="3" customWidth="1"/>
    <col min="6" max="6" width="11.33203125" style="129" customWidth="1"/>
    <col min="7" max="7" width="4.6640625" style="3" customWidth="1"/>
    <col min="8" max="8" width="20.33203125" style="129" bestFit="1" customWidth="1"/>
    <col min="9" max="9" width="4.6640625" style="3" customWidth="1"/>
    <col min="10" max="10" width="16" style="129" bestFit="1" customWidth="1"/>
    <col min="11" max="11" width="62.33203125" style="3" bestFit="1" customWidth="1"/>
    <col min="12" max="12" width="80" style="3" bestFit="1" customWidth="1"/>
    <col min="13" max="13" width="9.109375" style="3"/>
    <col min="14" max="14" width="17.109375" style="3" bestFit="1" customWidth="1"/>
    <col min="15" max="15" width="9.109375" style="3"/>
    <col min="16" max="16" width="16.33203125" style="3" bestFit="1" customWidth="1"/>
    <col min="17" max="16384" width="9.109375" style="3"/>
  </cols>
  <sheetData>
    <row r="1" spans="1:16" x14ac:dyDescent="0.3">
      <c r="A1" s="127" t="s">
        <v>2</v>
      </c>
      <c r="C1" s="127" t="s">
        <v>46</v>
      </c>
      <c r="D1" s="127"/>
      <c r="F1" s="128" t="s">
        <v>3</v>
      </c>
      <c r="H1" s="128" t="s">
        <v>54</v>
      </c>
      <c r="J1" s="128" t="s">
        <v>61</v>
      </c>
      <c r="K1" s="128" t="s">
        <v>63</v>
      </c>
      <c r="L1" s="128" t="s">
        <v>43</v>
      </c>
      <c r="N1" s="128" t="s">
        <v>17</v>
      </c>
      <c r="P1" s="128" t="s">
        <v>18</v>
      </c>
    </row>
    <row r="2" spans="1:16" ht="43.2" x14ac:dyDescent="0.3">
      <c r="A2" s="3" t="s">
        <v>6</v>
      </c>
      <c r="C2" s="3" t="s">
        <v>115</v>
      </c>
      <c r="D2" s="3" t="s">
        <v>77</v>
      </c>
      <c r="F2" s="129" t="s">
        <v>141</v>
      </c>
      <c r="H2" s="142" t="s">
        <v>4</v>
      </c>
      <c r="J2" s="129" t="s">
        <v>60</v>
      </c>
      <c r="K2" s="130" t="s">
        <v>66</v>
      </c>
      <c r="L2" s="130" t="s">
        <v>83</v>
      </c>
      <c r="N2" s="3" t="s">
        <v>143</v>
      </c>
      <c r="P2" s="3" t="s">
        <v>144</v>
      </c>
    </row>
    <row r="3" spans="1:16" ht="28.8" x14ac:dyDescent="0.3">
      <c r="A3" s="3" t="s">
        <v>165</v>
      </c>
      <c r="C3" s="3" t="s">
        <v>114</v>
      </c>
      <c r="D3" s="3" t="s">
        <v>96</v>
      </c>
      <c r="F3" s="129" t="s">
        <v>52</v>
      </c>
      <c r="H3" s="3" t="s">
        <v>140</v>
      </c>
      <c r="J3" s="129" t="s">
        <v>120</v>
      </c>
      <c r="K3" s="3" t="s">
        <v>124</v>
      </c>
      <c r="L3" s="130" t="s">
        <v>83</v>
      </c>
      <c r="N3" s="3" t="s">
        <v>145</v>
      </c>
      <c r="P3" s="3" t="s">
        <v>146</v>
      </c>
    </row>
    <row r="4" spans="1:16" ht="28.8" x14ac:dyDescent="0.3">
      <c r="A4" s="3" t="s">
        <v>48</v>
      </c>
      <c r="C4" s="3" t="s">
        <v>109</v>
      </c>
      <c r="D4" s="3" t="s">
        <v>86</v>
      </c>
      <c r="F4" s="129" t="s">
        <v>53</v>
      </c>
      <c r="H4" s="142" t="s">
        <v>50</v>
      </c>
      <c r="J4" s="129" t="s">
        <v>80</v>
      </c>
      <c r="K4" s="130" t="s">
        <v>82</v>
      </c>
      <c r="L4" s="130" t="s">
        <v>84</v>
      </c>
      <c r="N4" s="3" t="s">
        <v>147</v>
      </c>
      <c r="P4" s="3" t="s">
        <v>148</v>
      </c>
    </row>
    <row r="5" spans="1:16" ht="43.2" x14ac:dyDescent="0.3">
      <c r="A5" s="3" t="s">
        <v>85</v>
      </c>
      <c r="C5" s="3" t="s">
        <v>81</v>
      </c>
      <c r="D5" s="3" t="s">
        <v>91</v>
      </c>
      <c r="F5" s="129" t="s">
        <v>171</v>
      </c>
      <c r="H5" s="142" t="s">
        <v>142</v>
      </c>
      <c r="J5" s="129" t="s">
        <v>62</v>
      </c>
      <c r="K5" s="130" t="s">
        <v>68</v>
      </c>
      <c r="L5" s="130" t="s">
        <v>83</v>
      </c>
      <c r="N5" s="3" t="s">
        <v>149</v>
      </c>
      <c r="P5" s="3" t="s">
        <v>150</v>
      </c>
    </row>
    <row r="6" spans="1:16" ht="28.8" x14ac:dyDescent="0.3">
      <c r="A6" s="3" t="s">
        <v>51</v>
      </c>
      <c r="C6" s="3" t="s">
        <v>104</v>
      </c>
      <c r="D6" s="3" t="s">
        <v>75</v>
      </c>
      <c r="F6" s="129" t="s">
        <v>166</v>
      </c>
      <c r="H6" s="142"/>
      <c r="J6" s="129" t="s">
        <v>69</v>
      </c>
      <c r="K6" s="3" t="s">
        <v>65</v>
      </c>
      <c r="L6" s="130" t="s">
        <v>83</v>
      </c>
      <c r="N6" s="3" t="s">
        <v>151</v>
      </c>
      <c r="P6" s="3" t="s">
        <v>152</v>
      </c>
    </row>
    <row r="7" spans="1:16" ht="28.8" x14ac:dyDescent="0.3">
      <c r="A7" s="3" t="s">
        <v>4</v>
      </c>
      <c r="C7" s="3" t="s">
        <v>118</v>
      </c>
      <c r="D7" s="3" t="s">
        <v>88</v>
      </c>
      <c r="F7" s="129" t="s">
        <v>10</v>
      </c>
      <c r="H7" s="142"/>
      <c r="J7" s="129" t="s">
        <v>70</v>
      </c>
      <c r="K7" s="3" t="s">
        <v>65</v>
      </c>
      <c r="L7" s="130" t="s">
        <v>84</v>
      </c>
      <c r="N7" s="3" t="s">
        <v>153</v>
      </c>
      <c r="P7" s="3" t="s">
        <v>154</v>
      </c>
    </row>
    <row r="8" spans="1:16" ht="28.8" x14ac:dyDescent="0.3">
      <c r="A8" s="3" t="s">
        <v>7</v>
      </c>
      <c r="C8" s="3" t="s">
        <v>107</v>
      </c>
      <c r="D8" s="3" t="s">
        <v>98</v>
      </c>
      <c r="F8" s="129" t="s">
        <v>8</v>
      </c>
      <c r="H8" s="142"/>
      <c r="J8" s="129" t="s">
        <v>123</v>
      </c>
      <c r="K8" s="3" t="s">
        <v>65</v>
      </c>
      <c r="L8" s="130" t="s">
        <v>84</v>
      </c>
      <c r="N8" s="3" t="s">
        <v>155</v>
      </c>
      <c r="P8" s="3" t="s">
        <v>156</v>
      </c>
    </row>
    <row r="9" spans="1:16" ht="28.8" x14ac:dyDescent="0.3">
      <c r="A9" s="3" t="s">
        <v>164</v>
      </c>
      <c r="C9" s="3" t="s">
        <v>103</v>
      </c>
      <c r="D9" s="3" t="s">
        <v>74</v>
      </c>
      <c r="F9" s="129" t="s">
        <v>169</v>
      </c>
      <c r="H9" s="142"/>
      <c r="J9" s="129" t="s">
        <v>121</v>
      </c>
      <c r="K9" s="130" t="s">
        <v>125</v>
      </c>
      <c r="L9" s="130" t="s">
        <v>84</v>
      </c>
      <c r="P9" s="3" t="s">
        <v>157</v>
      </c>
    </row>
    <row r="10" spans="1:16" ht="28.8" x14ac:dyDescent="0.3">
      <c r="A10" s="3" t="s">
        <v>49</v>
      </c>
      <c r="C10" s="3" t="s">
        <v>101</v>
      </c>
      <c r="D10" s="3" t="s">
        <v>72</v>
      </c>
      <c r="H10" s="142"/>
      <c r="J10" s="129" t="s">
        <v>122</v>
      </c>
      <c r="K10" s="3" t="s">
        <v>136</v>
      </c>
      <c r="L10" s="130" t="s">
        <v>84</v>
      </c>
      <c r="P10" s="3" t="s">
        <v>158</v>
      </c>
    </row>
    <row r="11" spans="1:16" ht="29.25" customHeight="1" x14ac:dyDescent="0.3">
      <c r="A11" s="3" t="s">
        <v>119</v>
      </c>
      <c r="C11" s="3" t="s">
        <v>133</v>
      </c>
      <c r="D11" s="3" t="s">
        <v>131</v>
      </c>
      <c r="H11" s="142"/>
      <c r="P11" s="3" t="s">
        <v>159</v>
      </c>
    </row>
    <row r="12" spans="1:16" ht="29.25" customHeight="1" x14ac:dyDescent="0.3">
      <c r="A12" s="3" t="s">
        <v>57</v>
      </c>
      <c r="C12" s="3" t="s">
        <v>134</v>
      </c>
      <c r="D12" s="3" t="s">
        <v>132</v>
      </c>
      <c r="H12" s="3"/>
      <c r="P12" s="3" t="s">
        <v>160</v>
      </c>
    </row>
    <row r="13" spans="1:16" ht="29.25" customHeight="1" x14ac:dyDescent="0.3">
      <c r="A13" s="3" t="s">
        <v>12</v>
      </c>
      <c r="C13" s="3" t="s">
        <v>129</v>
      </c>
      <c r="D13" s="3" t="s">
        <v>128</v>
      </c>
      <c r="H13" s="142"/>
      <c r="P13" s="3" t="s">
        <v>161</v>
      </c>
    </row>
    <row r="14" spans="1:16" ht="29.25" customHeight="1" x14ac:dyDescent="0.3">
      <c r="A14" s="3" t="s">
        <v>139</v>
      </c>
      <c r="C14" s="3" t="s">
        <v>122</v>
      </c>
      <c r="D14" s="3" t="s">
        <v>130</v>
      </c>
      <c r="H14" s="142"/>
      <c r="P14" s="3" t="s">
        <v>162</v>
      </c>
    </row>
    <row r="15" spans="1:16" ht="27" customHeight="1" x14ac:dyDescent="0.3">
      <c r="A15" s="3" t="s">
        <v>140</v>
      </c>
      <c r="C15" s="3" t="s">
        <v>102</v>
      </c>
      <c r="D15" s="3" t="s">
        <v>73</v>
      </c>
      <c r="H15" s="142"/>
      <c r="P15" s="3" t="s">
        <v>163</v>
      </c>
    </row>
    <row r="16" spans="1:16" ht="27" customHeight="1" x14ac:dyDescent="0.3">
      <c r="A16" s="3" t="s">
        <v>50</v>
      </c>
      <c r="C16" s="3" t="s">
        <v>116</v>
      </c>
      <c r="D16" s="3" t="s">
        <v>94</v>
      </c>
      <c r="H16" s="3"/>
    </row>
    <row r="17" spans="1:8" ht="27" customHeight="1" x14ac:dyDescent="0.3">
      <c r="A17" s="3" t="s">
        <v>11</v>
      </c>
      <c r="C17" s="3" t="s">
        <v>105</v>
      </c>
      <c r="D17" s="3" t="s">
        <v>76</v>
      </c>
      <c r="H17" s="3"/>
    </row>
    <row r="18" spans="1:8" ht="27" customHeight="1" x14ac:dyDescent="0.3">
      <c r="A18" s="3" t="s">
        <v>135</v>
      </c>
      <c r="C18" s="3" t="s">
        <v>110</v>
      </c>
      <c r="D18" s="3" t="s">
        <v>87</v>
      </c>
      <c r="H18" s="3"/>
    </row>
    <row r="19" spans="1:8" ht="27" customHeight="1" x14ac:dyDescent="0.3">
      <c r="A19" s="3" t="s">
        <v>138</v>
      </c>
      <c r="C19" s="3" t="s">
        <v>113</v>
      </c>
      <c r="D19" s="3" t="s">
        <v>95</v>
      </c>
      <c r="H19" s="3"/>
    </row>
    <row r="20" spans="1:8" ht="27" customHeight="1" x14ac:dyDescent="0.3">
      <c r="A20" s="3" t="s">
        <v>5</v>
      </c>
      <c r="C20" s="3" t="s">
        <v>108</v>
      </c>
      <c r="D20" s="3" t="s">
        <v>99</v>
      </c>
    </row>
    <row r="21" spans="1:8" ht="27" customHeight="1" x14ac:dyDescent="0.3">
      <c r="A21" s="3" t="s">
        <v>137</v>
      </c>
      <c r="C21" s="3" t="s">
        <v>126</v>
      </c>
      <c r="D21" s="3" t="s">
        <v>127</v>
      </c>
    </row>
    <row r="22" spans="1:8" ht="27" customHeight="1" x14ac:dyDescent="0.3">
      <c r="A22" s="3" t="s">
        <v>167</v>
      </c>
      <c r="C22" s="3" t="s">
        <v>9</v>
      </c>
      <c r="D22" s="3" t="s">
        <v>89</v>
      </c>
    </row>
    <row r="23" spans="1:8" ht="27" customHeight="1" x14ac:dyDescent="0.3">
      <c r="A23" s="3" t="s">
        <v>168</v>
      </c>
      <c r="C23" s="3" t="s">
        <v>117</v>
      </c>
      <c r="D23" s="3" t="s">
        <v>90</v>
      </c>
    </row>
    <row r="24" spans="1:8" ht="27" customHeight="1" x14ac:dyDescent="0.3">
      <c r="A24" s="3" t="s">
        <v>170</v>
      </c>
      <c r="C24" s="3" t="s">
        <v>106</v>
      </c>
      <c r="D24" s="3" t="s">
        <v>78</v>
      </c>
    </row>
    <row r="25" spans="1:8" ht="27" customHeight="1" x14ac:dyDescent="0.3">
      <c r="A25" s="3" t="s">
        <v>173</v>
      </c>
      <c r="C25" s="3" t="s">
        <v>112</v>
      </c>
      <c r="D25" s="3" t="s">
        <v>93</v>
      </c>
    </row>
    <row r="26" spans="1:8" ht="27" customHeight="1" x14ac:dyDescent="0.3">
      <c r="C26" s="3" t="s">
        <v>100</v>
      </c>
      <c r="D26" s="3" t="s">
        <v>71</v>
      </c>
    </row>
    <row r="27" spans="1:8" ht="27" customHeight="1" x14ac:dyDescent="0.3">
      <c r="C27" s="3" t="s">
        <v>97</v>
      </c>
      <c r="D27" s="3" t="s">
        <v>79</v>
      </c>
    </row>
    <row r="28" spans="1:8" ht="27" customHeight="1" x14ac:dyDescent="0.3">
      <c r="C28" s="3" t="s">
        <v>111</v>
      </c>
      <c r="D28" s="3" t="s">
        <v>92</v>
      </c>
    </row>
    <row r="29" spans="1:8" ht="27" customHeight="1" x14ac:dyDescent="0.3"/>
  </sheetData>
  <sortState xmlns:xlrd2="http://schemas.microsoft.com/office/spreadsheetml/2017/richdata2" ref="F2:F8">
    <sortCondition ref="F8"/>
  </sortState>
  <phoneticPr fontId="33" type="noConversion"/>
  <pageMargins left="0.511811024" right="0.511811024" top="0.78740157499999996" bottom="0.78740157499999996" header="0.31496062000000002" footer="0.31496062000000002"/>
  <pageSetup paperSize="9" orientation="portrait" horizontalDpi="4294967293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>
    <pageSetUpPr fitToPage="1"/>
  </sheetPr>
  <dimension ref="A1:BA115"/>
  <sheetViews>
    <sheetView showGridLines="0" tabSelected="1" zoomScale="70" zoomScaleNormal="70" zoomScaleSheetLayoutView="75" workbookViewId="0">
      <pane xSplit="4" ySplit="14" topLeftCell="H30" activePane="bottomRight" state="frozen"/>
      <selection pane="topRight" activeCell="E1" sqref="E1"/>
      <selection pane="bottomLeft" activeCell="A5" sqref="A5"/>
      <selection pane="bottomRight" activeCell="I68" sqref="I68:I71"/>
    </sheetView>
  </sheetViews>
  <sheetFormatPr defaultColWidth="9.109375" defaultRowHeight="14.4" x14ac:dyDescent="0.3"/>
  <cols>
    <col min="1" max="1" width="16.109375" style="3" bestFit="1" customWidth="1"/>
    <col min="2" max="2" width="72.109375" style="3" customWidth="1"/>
    <col min="3" max="3" width="8.5546875" style="3" customWidth="1"/>
    <col min="4" max="4" width="12.5546875" style="3" bestFit="1" customWidth="1"/>
    <col min="5" max="5" width="1.6640625" style="3" customWidth="1"/>
    <col min="6" max="6" width="7.6640625" style="3" customWidth="1"/>
    <col min="7" max="7" width="15.44140625" style="3" customWidth="1"/>
    <col min="8" max="8" width="19.88671875" style="3" bestFit="1" customWidth="1"/>
    <col min="9" max="9" width="7.109375" style="3" customWidth="1"/>
    <col min="10" max="10" width="0.88671875" style="2" customWidth="1"/>
    <col min="11" max="11" width="7.6640625" style="3" customWidth="1"/>
    <col min="12" max="12" width="17.33203125" style="3" bestFit="1" customWidth="1"/>
    <col min="13" max="13" width="21.44140625" style="3" bestFit="1" customWidth="1"/>
    <col min="14" max="14" width="7.109375" style="3" bestFit="1" customWidth="1"/>
    <col min="15" max="15" width="0.88671875" style="2" customWidth="1"/>
    <col min="16" max="16" width="7.6640625" style="3" customWidth="1"/>
    <col min="17" max="17" width="17.33203125" style="3" bestFit="1" customWidth="1"/>
    <col min="18" max="18" width="19.88671875" style="3" bestFit="1" customWidth="1"/>
    <col min="19" max="19" width="7.109375" style="3" customWidth="1"/>
    <col min="20" max="20" width="0.88671875" style="2" customWidth="1"/>
    <col min="21" max="21" width="7.6640625" style="3" customWidth="1"/>
    <col min="22" max="22" width="16.6640625" style="3" customWidth="1"/>
    <col min="23" max="23" width="19.88671875" style="3" bestFit="1" customWidth="1"/>
    <col min="24" max="24" width="7.109375" style="3" customWidth="1"/>
    <col min="25" max="25" width="0.88671875" style="2" customWidth="1"/>
    <col min="26" max="26" width="7.6640625" style="3" customWidth="1"/>
    <col min="27" max="27" width="13.33203125" style="3" customWidth="1"/>
    <col min="28" max="28" width="19.88671875" style="3" customWidth="1"/>
    <col min="29" max="29" width="7.109375" style="3" customWidth="1"/>
    <col min="30" max="30" width="0.88671875" style="2" customWidth="1"/>
    <col min="31" max="31" width="11.109375" style="3" bestFit="1" customWidth="1"/>
    <col min="32" max="32" width="10.44140625" style="3" customWidth="1"/>
    <col min="33" max="33" width="19.88671875" style="3" customWidth="1"/>
    <col min="34" max="34" width="7.109375" style="3" customWidth="1"/>
    <col min="35" max="35" width="1.6640625" style="2" customWidth="1"/>
    <col min="36" max="36" width="13.109375" style="3" bestFit="1" customWidth="1"/>
    <col min="37" max="37" width="27.33203125" style="3" bestFit="1" customWidth="1"/>
    <col min="38" max="38" width="23" style="3" bestFit="1" customWidth="1"/>
    <col min="39" max="39" width="1.6640625" style="3" customWidth="1"/>
    <col min="40" max="40" width="13.109375" style="3" bestFit="1" customWidth="1"/>
    <col min="41" max="41" width="27.33203125" style="3" bestFit="1" customWidth="1"/>
    <col min="42" max="42" width="25.44140625" style="3" bestFit="1" customWidth="1"/>
    <col min="43" max="43" width="6.6640625" style="3" customWidth="1"/>
    <col min="44" max="44" width="15.109375" style="3" customWidth="1"/>
    <col min="45" max="45" width="14.88671875" style="3" customWidth="1"/>
    <col min="46" max="46" width="16.88671875" style="3" customWidth="1"/>
    <col min="47" max="47" width="12.44140625" style="3" customWidth="1"/>
    <col min="48" max="48" width="14.88671875" style="3" customWidth="1"/>
    <col min="49" max="49" width="12.44140625" style="3" customWidth="1"/>
    <col min="50" max="16384" width="9.109375" style="3"/>
  </cols>
  <sheetData>
    <row r="1" spans="1:53" hidden="1" x14ac:dyDescent="0.3">
      <c r="F1" s="119" t="e">
        <f>#REF!</f>
        <v>#REF!</v>
      </c>
      <c r="G1" s="120"/>
      <c r="H1" s="120"/>
      <c r="I1" s="120"/>
      <c r="J1" s="120"/>
      <c r="K1" s="120" t="e">
        <f>#REF!</f>
        <v>#REF!</v>
      </c>
      <c r="L1" s="120"/>
      <c r="M1" s="120"/>
      <c r="N1" s="120"/>
      <c r="O1" s="120"/>
      <c r="P1" s="120" t="e">
        <f>#REF!</f>
        <v>#REF!</v>
      </c>
      <c r="Q1" s="120"/>
      <c r="R1" s="120"/>
      <c r="S1" s="120"/>
      <c r="T1" s="120"/>
      <c r="U1" s="120" t="str">
        <f>U13</f>
        <v>AMPLA</v>
      </c>
      <c r="V1" s="120"/>
      <c r="W1" s="120"/>
      <c r="X1" s="120"/>
      <c r="Y1" s="120"/>
      <c r="Z1" s="120" t="str">
        <f>Z13</f>
        <v>FORNECEDOR 5</v>
      </c>
      <c r="AA1" s="120"/>
      <c r="AB1" s="120"/>
      <c r="AC1" s="120"/>
      <c r="AD1" s="120"/>
      <c r="AE1" s="120" t="str">
        <f>AE13</f>
        <v>NOME DO FORNECEDOR 6</v>
      </c>
      <c r="AF1" s="120"/>
      <c r="AG1" s="121"/>
    </row>
    <row r="2" spans="1:53" hidden="1" x14ac:dyDescent="0.3">
      <c r="F2" s="135" t="str">
        <f>H8</f>
        <v>Leandro</v>
      </c>
      <c r="G2" s="118"/>
      <c r="H2" s="118"/>
      <c r="I2" s="118"/>
      <c r="J2" s="118"/>
      <c r="K2" s="118" t="str">
        <f>M8</f>
        <v>Natanael</v>
      </c>
      <c r="L2" s="118"/>
      <c r="M2" s="118"/>
      <c r="N2" s="118"/>
      <c r="O2" s="118"/>
      <c r="P2" s="118" t="str">
        <f>R8</f>
        <v>Juliana Silva</v>
      </c>
      <c r="Q2" s="118"/>
      <c r="R2" s="118"/>
      <c r="S2" s="118"/>
      <c r="T2" s="118"/>
      <c r="U2" s="118" t="str">
        <f>W8</f>
        <v>Malilia</v>
      </c>
      <c r="V2" s="118"/>
      <c r="W2" s="118"/>
      <c r="X2" s="118"/>
      <c r="Y2" s="118"/>
      <c r="Z2" s="118">
        <f>AB8</f>
        <v>0</v>
      </c>
      <c r="AA2" s="118"/>
      <c r="AB2" s="118"/>
      <c r="AC2" s="118"/>
      <c r="AD2" s="118"/>
      <c r="AE2" s="118">
        <f>AG8</f>
        <v>0</v>
      </c>
      <c r="AF2" s="118"/>
      <c r="AG2" s="136"/>
    </row>
    <row r="3" spans="1:53" hidden="1" x14ac:dyDescent="0.3">
      <c r="F3" s="122" t="str">
        <f>H6</f>
        <v>30/45/60dd</v>
      </c>
      <c r="G3" s="123"/>
      <c r="H3" s="123"/>
      <c r="I3" s="123"/>
      <c r="J3" s="123"/>
      <c r="K3" s="123" t="str">
        <f>M6</f>
        <v>30/60dd</v>
      </c>
      <c r="L3" s="123"/>
      <c r="M3" s="123"/>
      <c r="N3" s="123"/>
      <c r="O3" s="123"/>
      <c r="P3" s="123" t="str">
        <f>R6</f>
        <v>30dd</v>
      </c>
      <c r="Q3" s="123"/>
      <c r="R3" s="123"/>
      <c r="S3" s="123"/>
      <c r="T3" s="123"/>
      <c r="U3" s="123" t="str">
        <f>W6</f>
        <v>30dd</v>
      </c>
      <c r="V3" s="123"/>
      <c r="W3" s="123"/>
      <c r="X3" s="123"/>
      <c r="Y3" s="123"/>
      <c r="Z3" s="123">
        <f>AB6</f>
        <v>0</v>
      </c>
      <c r="AA3" s="123"/>
      <c r="AB3" s="123"/>
      <c r="AC3" s="123"/>
      <c r="AD3" s="123"/>
      <c r="AE3" s="123">
        <f>AG6</f>
        <v>0</v>
      </c>
      <c r="AF3" s="123"/>
      <c r="AG3" s="124"/>
    </row>
    <row r="4" spans="1:53" s="17" customFormat="1" ht="23.4" x14ac:dyDescent="0.3">
      <c r="A4" s="64" t="s">
        <v>44</v>
      </c>
      <c r="B4" s="134" t="s">
        <v>173</v>
      </c>
      <c r="C4" s="133"/>
      <c r="D4" s="29"/>
      <c r="E4" s="169"/>
      <c r="J4" s="18"/>
      <c r="O4" s="18"/>
      <c r="T4" s="18"/>
      <c r="Y4" s="18"/>
      <c r="AD4" s="18"/>
      <c r="AI4" s="18"/>
    </row>
    <row r="5" spans="1:53" ht="23.4" x14ac:dyDescent="0.3">
      <c r="A5" s="64" t="s">
        <v>47</v>
      </c>
      <c r="B5" s="163" t="s">
        <v>129</v>
      </c>
      <c r="C5" s="168"/>
      <c r="D5" s="30"/>
      <c r="E5" s="19"/>
      <c r="F5" s="23"/>
      <c r="G5" s="24" t="s">
        <v>17</v>
      </c>
      <c r="H5" s="144" t="s">
        <v>143</v>
      </c>
      <c r="I5" s="75"/>
      <c r="J5" s="3"/>
      <c r="K5" s="23"/>
      <c r="L5" s="24" t="s">
        <v>17</v>
      </c>
      <c r="M5" s="144" t="s">
        <v>143</v>
      </c>
      <c r="O5" s="3"/>
      <c r="P5" s="23"/>
      <c r="Q5" s="24" t="s">
        <v>17</v>
      </c>
      <c r="R5" s="144" t="s">
        <v>143</v>
      </c>
      <c r="U5" s="23"/>
      <c r="V5" s="24" t="s">
        <v>17</v>
      </c>
      <c r="W5" s="144" t="s">
        <v>143</v>
      </c>
      <c r="X5" s="21"/>
      <c r="Y5" s="26"/>
      <c r="Z5" s="23"/>
      <c r="AA5" s="24" t="s">
        <v>17</v>
      </c>
      <c r="AB5" s="144"/>
      <c r="AC5" s="21"/>
      <c r="AD5" s="27"/>
      <c r="AE5" s="23"/>
      <c r="AF5" s="24" t="s">
        <v>17</v>
      </c>
      <c r="AG5" s="25"/>
    </row>
    <row r="6" spans="1:53" ht="23.4" x14ac:dyDescent="0.3">
      <c r="A6" s="64" t="s">
        <v>36</v>
      </c>
      <c r="B6" s="131" t="s">
        <v>50</v>
      </c>
      <c r="C6" s="133"/>
      <c r="D6" s="63"/>
      <c r="E6" s="19"/>
      <c r="F6" s="23"/>
      <c r="G6" s="24" t="s">
        <v>18</v>
      </c>
      <c r="H6" s="144" t="s">
        <v>161</v>
      </c>
      <c r="I6" s="158"/>
      <c r="J6" s="159"/>
      <c r="K6" s="23"/>
      <c r="L6" s="24" t="s">
        <v>18</v>
      </c>
      <c r="M6" s="144" t="s">
        <v>158</v>
      </c>
      <c r="N6" s="22"/>
      <c r="O6" s="159"/>
      <c r="P6" s="23"/>
      <c r="Q6" s="24" t="s">
        <v>18</v>
      </c>
      <c r="R6" s="144" t="s">
        <v>150</v>
      </c>
      <c r="S6" s="21"/>
      <c r="T6" s="26"/>
      <c r="U6" s="23"/>
      <c r="V6" s="24" t="s">
        <v>18</v>
      </c>
      <c r="W6" s="144" t="s">
        <v>150</v>
      </c>
      <c r="X6" s="21"/>
      <c r="Y6" s="26"/>
      <c r="Z6" s="23"/>
      <c r="AA6" s="24" t="s">
        <v>18</v>
      </c>
      <c r="AB6" s="144"/>
      <c r="AC6" s="21"/>
      <c r="AD6" s="26"/>
      <c r="AE6" s="23"/>
      <c r="AF6" s="24" t="s">
        <v>18</v>
      </c>
      <c r="AG6" s="25"/>
      <c r="AH6" s="21"/>
      <c r="AI6" s="27"/>
      <c r="AJ6" s="27"/>
      <c r="AK6" s="27"/>
      <c r="AL6" s="27"/>
      <c r="AM6" s="27"/>
      <c r="AN6" s="27"/>
      <c r="AO6" s="27"/>
      <c r="AP6" s="27"/>
      <c r="AQ6" s="21"/>
      <c r="AR6" s="22"/>
      <c r="AS6" s="22"/>
      <c r="AT6" s="22"/>
      <c r="AU6" s="22"/>
      <c r="AV6" s="22"/>
      <c r="AW6" s="22"/>
      <c r="AX6" s="22"/>
      <c r="AY6" s="22"/>
      <c r="AZ6" s="22"/>
      <c r="BA6" s="22"/>
    </row>
    <row r="7" spans="1:53" s="22" customFormat="1" ht="18" x14ac:dyDescent="0.3">
      <c r="A7" s="64" t="s">
        <v>28</v>
      </c>
      <c r="B7" s="132">
        <v>44084</v>
      </c>
      <c r="C7" s="133"/>
      <c r="E7" s="21"/>
      <c r="F7" s="23"/>
      <c r="G7" s="24" t="s">
        <v>19</v>
      </c>
      <c r="H7" s="25"/>
      <c r="I7" s="158"/>
      <c r="J7" s="159"/>
      <c r="K7" s="23"/>
      <c r="L7" s="24" t="s">
        <v>19</v>
      </c>
      <c r="M7" s="25"/>
      <c r="O7" s="159"/>
      <c r="P7" s="23"/>
      <c r="Q7" s="24" t="s">
        <v>19</v>
      </c>
      <c r="R7" s="25"/>
      <c r="S7" s="21"/>
      <c r="T7" s="26"/>
      <c r="U7" s="23"/>
      <c r="V7" s="24" t="s">
        <v>19</v>
      </c>
      <c r="W7" s="162"/>
      <c r="X7" s="21"/>
      <c r="Y7" s="26"/>
      <c r="Z7" s="23"/>
      <c r="AA7" s="24" t="s">
        <v>19</v>
      </c>
      <c r="AB7" s="144"/>
      <c r="AC7" s="21"/>
      <c r="AD7" s="26"/>
      <c r="AE7" s="23"/>
      <c r="AF7" s="24" t="s">
        <v>19</v>
      </c>
      <c r="AG7" s="25"/>
      <c r="AH7" s="21"/>
      <c r="AI7" s="26"/>
      <c r="AJ7" s="27"/>
      <c r="AK7" s="27"/>
      <c r="AL7" s="27"/>
      <c r="AM7" s="27"/>
      <c r="AN7" s="27"/>
      <c r="AO7" s="27"/>
      <c r="AP7" s="27"/>
      <c r="AQ7" s="21"/>
    </row>
    <row r="8" spans="1:53" s="22" customFormat="1" ht="18" x14ac:dyDescent="0.3">
      <c r="A8" s="116" t="s">
        <v>64</v>
      </c>
      <c r="B8" s="132" t="s">
        <v>60</v>
      </c>
      <c r="C8" s="133"/>
      <c r="E8" s="21"/>
      <c r="F8" s="23"/>
      <c r="G8" s="24" t="s">
        <v>40</v>
      </c>
      <c r="H8" s="144" t="s">
        <v>228</v>
      </c>
      <c r="I8" s="158"/>
      <c r="J8" s="159"/>
      <c r="K8" s="23"/>
      <c r="L8" s="24" t="s">
        <v>40</v>
      </c>
      <c r="M8" s="144" t="s">
        <v>237</v>
      </c>
      <c r="O8" s="159"/>
      <c r="P8" s="23"/>
      <c r="Q8" s="24" t="s">
        <v>40</v>
      </c>
      <c r="R8" s="144" t="s">
        <v>241</v>
      </c>
      <c r="S8" s="21"/>
      <c r="T8" s="26"/>
      <c r="U8" s="23"/>
      <c r="V8" s="24" t="s">
        <v>40</v>
      </c>
      <c r="W8" s="144" t="s">
        <v>243</v>
      </c>
      <c r="X8" s="21"/>
      <c r="Y8" s="27"/>
      <c r="Z8" s="23"/>
      <c r="AA8" s="24" t="s">
        <v>40</v>
      </c>
      <c r="AB8" s="144"/>
      <c r="AC8" s="21"/>
      <c r="AD8" s="26"/>
      <c r="AE8" s="23"/>
      <c r="AF8" s="65" t="s">
        <v>40</v>
      </c>
      <c r="AG8" s="25"/>
      <c r="AH8" s="21"/>
      <c r="AI8" s="26"/>
      <c r="AQ8" s="21"/>
    </row>
    <row r="9" spans="1:53" s="22" customFormat="1" ht="28.5" customHeight="1" x14ac:dyDescent="0.3">
      <c r="A9" s="103"/>
      <c r="C9" s="112"/>
      <c r="D9" s="21"/>
      <c r="E9" s="21"/>
      <c r="F9" s="28"/>
      <c r="G9" s="66" t="s">
        <v>41</v>
      </c>
      <c r="H9" s="164" t="s">
        <v>229</v>
      </c>
      <c r="I9" s="158"/>
      <c r="K9" s="161"/>
      <c r="L9" s="66" t="s">
        <v>41</v>
      </c>
      <c r="M9" s="160" t="s">
        <v>238</v>
      </c>
      <c r="P9" s="161"/>
      <c r="Q9" s="66" t="s">
        <v>41</v>
      </c>
      <c r="R9" s="160" t="s">
        <v>242</v>
      </c>
      <c r="S9" s="21"/>
      <c r="T9" s="27"/>
      <c r="U9" s="28"/>
      <c r="V9" s="66" t="s">
        <v>41</v>
      </c>
      <c r="W9" s="160" t="s">
        <v>249</v>
      </c>
      <c r="X9" s="21"/>
      <c r="Y9" s="27"/>
      <c r="Z9" s="28"/>
      <c r="AA9" s="66" t="s">
        <v>41</v>
      </c>
      <c r="AB9" s="166"/>
      <c r="AC9" s="21"/>
      <c r="AD9" s="26"/>
      <c r="AE9" s="28"/>
      <c r="AF9" s="66" t="s">
        <v>41</v>
      </c>
      <c r="AG9" s="28"/>
      <c r="AH9" s="21"/>
      <c r="AI9" s="26"/>
      <c r="AQ9" s="21"/>
    </row>
    <row r="10" spans="1:53" s="22" customFormat="1" ht="23.4" x14ac:dyDescent="0.3">
      <c r="A10" s="21"/>
      <c r="B10" s="182" t="s">
        <v>174</v>
      </c>
      <c r="C10" s="113"/>
      <c r="D10" s="21"/>
      <c r="E10" s="21"/>
      <c r="F10" s="44"/>
      <c r="G10" s="44"/>
      <c r="H10" s="44"/>
      <c r="I10" s="44"/>
      <c r="J10" s="113"/>
      <c r="K10" s="44"/>
      <c r="L10" s="44"/>
      <c r="M10" s="44"/>
      <c r="N10" s="44"/>
      <c r="O10" s="113"/>
      <c r="P10" s="44"/>
      <c r="Q10" s="44"/>
      <c r="R10" s="44"/>
      <c r="S10" s="44"/>
      <c r="T10" s="113"/>
      <c r="U10" s="44"/>
      <c r="V10" s="44"/>
      <c r="W10" s="44"/>
      <c r="X10" s="44"/>
      <c r="Y10" s="113"/>
      <c r="Z10" s="44"/>
      <c r="AA10" s="44"/>
      <c r="AB10" s="44"/>
      <c r="AC10" s="44"/>
      <c r="AD10" s="113"/>
      <c r="AE10" s="44"/>
      <c r="AF10" s="44"/>
      <c r="AG10" s="44"/>
      <c r="AH10" s="21"/>
      <c r="AI10" s="26"/>
      <c r="AJ10" s="34" t="s">
        <v>29</v>
      </c>
      <c r="AK10" s="35"/>
      <c r="AL10" s="36"/>
      <c r="AM10" s="37"/>
      <c r="AN10" s="34" t="s">
        <v>30</v>
      </c>
      <c r="AO10" s="35"/>
      <c r="AP10" s="36"/>
      <c r="AQ10" s="21"/>
      <c r="AZ10" s="19"/>
      <c r="BA10" s="19"/>
    </row>
    <row r="11" spans="1:53" s="19" customFormat="1" ht="15.6" x14ac:dyDescent="0.3">
      <c r="A11" s="44"/>
      <c r="B11" s="183"/>
      <c r="C11" s="113"/>
      <c r="D11" s="44"/>
      <c r="E11" s="44"/>
      <c r="F11" s="44"/>
      <c r="G11" s="44"/>
      <c r="H11" s="44"/>
      <c r="I11" s="44"/>
      <c r="J11" s="113"/>
      <c r="K11" s="44"/>
      <c r="L11" s="44"/>
      <c r="M11" s="44"/>
      <c r="N11" s="44"/>
      <c r="O11" s="113"/>
      <c r="P11" s="44"/>
      <c r="Q11" s="44"/>
      <c r="R11" s="44"/>
      <c r="S11" s="44"/>
      <c r="T11" s="113"/>
      <c r="U11" s="44"/>
      <c r="V11" s="44"/>
      <c r="W11" s="44"/>
      <c r="X11" s="44"/>
      <c r="Y11" s="113"/>
      <c r="Z11" s="44"/>
      <c r="AA11" s="44"/>
      <c r="AB11" s="44"/>
      <c r="AC11" s="44"/>
      <c r="AD11" s="113"/>
      <c r="AE11" s="44"/>
      <c r="AF11" s="44"/>
      <c r="AG11" s="44"/>
      <c r="AH11" s="44"/>
      <c r="AI11" s="113"/>
      <c r="AJ11" s="114"/>
      <c r="AK11" s="113"/>
      <c r="AL11" s="115"/>
      <c r="AM11" s="44"/>
      <c r="AN11" s="114"/>
      <c r="AO11" s="113"/>
      <c r="AP11" s="115"/>
      <c r="AQ11" s="44"/>
      <c r="AR11" s="45"/>
      <c r="AS11" s="45"/>
      <c r="AT11" s="45"/>
      <c r="AU11" s="45"/>
      <c r="AV11" s="45"/>
      <c r="AW11" s="45"/>
    </row>
    <row r="12" spans="1:53" ht="29.4" thickBot="1" x14ac:dyDescent="0.35">
      <c r="A12" s="1"/>
      <c r="B12" s="1"/>
      <c r="C12" s="1"/>
      <c r="D12" s="1"/>
      <c r="E12" s="44"/>
      <c r="F12" s="1"/>
      <c r="G12" s="1"/>
      <c r="H12" s="4">
        <f>SUM(H15:H114)</f>
        <v>5318.54</v>
      </c>
      <c r="I12" s="5"/>
      <c r="J12" s="6"/>
      <c r="K12" s="5"/>
      <c r="L12" s="5"/>
      <c r="M12" s="4">
        <f>SUM(M15:M114)</f>
        <v>2608.6</v>
      </c>
      <c r="N12" s="5"/>
      <c r="O12" s="6"/>
      <c r="P12" s="5"/>
      <c r="Q12" s="5"/>
      <c r="R12" s="4">
        <f>SUM(R15:R114)</f>
        <v>1434.15</v>
      </c>
      <c r="S12" s="5"/>
      <c r="T12" s="6"/>
      <c r="U12" s="5"/>
      <c r="V12" s="5"/>
      <c r="W12" s="4">
        <f>SUM(W15:W64)</f>
        <v>1366.0300000000002</v>
      </c>
      <c r="X12" s="5"/>
      <c r="Y12" s="6"/>
      <c r="Z12" s="5"/>
      <c r="AA12" s="5"/>
      <c r="AB12" s="4">
        <f>SUM(AB15:AB64)</f>
        <v>0</v>
      </c>
      <c r="AC12" s="5"/>
      <c r="AD12" s="6"/>
      <c r="AE12" s="5"/>
      <c r="AF12" s="5"/>
      <c r="AG12" s="4">
        <f>SUM(AG15:AG64)</f>
        <v>0</v>
      </c>
      <c r="AH12" s="1"/>
      <c r="AI12" s="6"/>
      <c r="AJ12" s="31"/>
      <c r="AK12" s="33" t="e">
        <f>SUBTOTAL(9,AK15:AK114)</f>
        <v>#VALUE!</v>
      </c>
      <c r="AL12" s="32"/>
      <c r="AM12" s="1"/>
      <c r="AN12" s="31"/>
      <c r="AO12" s="33" t="e">
        <f>SUBTOTAL(9,AO15:AO114)</f>
        <v>#VALUE!</v>
      </c>
      <c r="AP12" s="32"/>
      <c r="AQ12" s="1"/>
      <c r="AR12" s="16"/>
      <c r="AS12" s="16"/>
      <c r="AT12" s="16"/>
      <c r="AU12" s="16"/>
      <c r="AV12" s="16"/>
      <c r="AW12" s="16"/>
      <c r="AZ12" s="19"/>
      <c r="BA12" s="19"/>
    </row>
    <row r="13" spans="1:53" s="19" customFormat="1" ht="15.6" x14ac:dyDescent="0.3">
      <c r="A13" s="38"/>
      <c r="B13" s="47" t="s">
        <v>0</v>
      </c>
      <c r="C13" s="39"/>
      <c r="D13" s="40"/>
      <c r="E13" s="146"/>
      <c r="F13" s="179" t="s">
        <v>230</v>
      </c>
      <c r="G13" s="180"/>
      <c r="H13" s="180"/>
      <c r="I13" s="181"/>
      <c r="J13" s="147"/>
      <c r="K13" s="179" t="s">
        <v>236</v>
      </c>
      <c r="L13" s="180"/>
      <c r="M13" s="180"/>
      <c r="N13" s="181"/>
      <c r="O13" s="147"/>
      <c r="P13" s="179" t="s">
        <v>239</v>
      </c>
      <c r="Q13" s="180"/>
      <c r="R13" s="180"/>
      <c r="S13" s="181"/>
      <c r="T13" s="147"/>
      <c r="U13" s="179" t="s">
        <v>244</v>
      </c>
      <c r="V13" s="180"/>
      <c r="W13" s="180"/>
      <c r="X13" s="181"/>
      <c r="Y13" s="48"/>
      <c r="Z13" s="179" t="s">
        <v>172</v>
      </c>
      <c r="AA13" s="180"/>
      <c r="AB13" s="180"/>
      <c r="AC13" s="181"/>
      <c r="AD13" s="48"/>
      <c r="AE13" s="105" t="s">
        <v>21</v>
      </c>
      <c r="AF13" s="106"/>
      <c r="AG13" s="106"/>
      <c r="AH13" s="107"/>
      <c r="AI13" s="48"/>
      <c r="AJ13" s="41"/>
      <c r="AK13" s="42"/>
      <c r="AL13" s="43"/>
      <c r="AM13" s="44"/>
      <c r="AN13" s="41"/>
      <c r="AO13" s="42"/>
      <c r="AP13" s="43"/>
      <c r="AQ13" s="44"/>
      <c r="AR13" s="45"/>
      <c r="AS13" s="45"/>
      <c r="AT13" s="45"/>
      <c r="AU13" s="45"/>
      <c r="AV13" s="45"/>
      <c r="AW13" s="45"/>
    </row>
    <row r="14" spans="1:53" s="19" customFormat="1" ht="15.6" x14ac:dyDescent="0.3">
      <c r="A14" s="70" t="s">
        <v>31</v>
      </c>
      <c r="B14" s="167" t="s">
        <v>32</v>
      </c>
      <c r="C14" s="167" t="s">
        <v>33</v>
      </c>
      <c r="D14" s="67" t="s">
        <v>1</v>
      </c>
      <c r="E14" s="146"/>
      <c r="F14" s="148" t="s">
        <v>33</v>
      </c>
      <c r="G14" s="53" t="s">
        <v>34</v>
      </c>
      <c r="H14" s="53" t="s">
        <v>35</v>
      </c>
      <c r="I14" s="52" t="s">
        <v>13</v>
      </c>
      <c r="J14" s="149"/>
      <c r="K14" s="148" t="s">
        <v>33</v>
      </c>
      <c r="L14" s="53" t="s">
        <v>34</v>
      </c>
      <c r="M14" s="53" t="s">
        <v>35</v>
      </c>
      <c r="N14" s="52" t="s">
        <v>13</v>
      </c>
      <c r="O14" s="149"/>
      <c r="P14" s="49" t="s">
        <v>33</v>
      </c>
      <c r="Q14" s="50" t="s">
        <v>34</v>
      </c>
      <c r="R14" s="50" t="s">
        <v>35</v>
      </c>
      <c r="S14" s="52" t="s">
        <v>13</v>
      </c>
      <c r="T14" s="149"/>
      <c r="U14" s="49" t="s">
        <v>33</v>
      </c>
      <c r="V14" s="50" t="s">
        <v>34</v>
      </c>
      <c r="W14" s="50" t="s">
        <v>35</v>
      </c>
      <c r="X14" s="52" t="s">
        <v>13</v>
      </c>
      <c r="Y14" s="51"/>
      <c r="Z14" s="49" t="s">
        <v>33</v>
      </c>
      <c r="AA14" s="50" t="s">
        <v>34</v>
      </c>
      <c r="AB14" s="50" t="s">
        <v>35</v>
      </c>
      <c r="AC14" s="52" t="s">
        <v>13</v>
      </c>
      <c r="AD14" s="51"/>
      <c r="AE14" s="49" t="s">
        <v>33</v>
      </c>
      <c r="AF14" s="50" t="s">
        <v>34</v>
      </c>
      <c r="AG14" s="50" t="s">
        <v>35</v>
      </c>
      <c r="AH14" s="52" t="s">
        <v>13</v>
      </c>
      <c r="AI14" s="51"/>
      <c r="AJ14" s="50" t="s">
        <v>34</v>
      </c>
      <c r="AK14" s="50" t="s">
        <v>16</v>
      </c>
      <c r="AL14" s="53" t="s">
        <v>15</v>
      </c>
      <c r="AM14" s="44"/>
      <c r="AN14" s="50" t="s">
        <v>34</v>
      </c>
      <c r="AO14" s="50" t="s">
        <v>14</v>
      </c>
      <c r="AP14" s="53" t="s">
        <v>15</v>
      </c>
      <c r="AQ14" s="44"/>
      <c r="AR14" s="46" t="s">
        <v>22</v>
      </c>
      <c r="AS14" s="46" t="s">
        <v>23</v>
      </c>
      <c r="AT14" s="46" t="s">
        <v>24</v>
      </c>
      <c r="AU14" s="46" t="s">
        <v>25</v>
      </c>
      <c r="AV14" s="46" t="s">
        <v>26</v>
      </c>
      <c r="AW14" s="46" t="s">
        <v>27</v>
      </c>
      <c r="AZ14" s="3"/>
      <c r="BA14" s="3"/>
    </row>
    <row r="15" spans="1:53" ht="15.6" x14ac:dyDescent="0.3">
      <c r="A15" s="54">
        <v>1</v>
      </c>
      <c r="B15" s="150" t="s">
        <v>175</v>
      </c>
      <c r="C15" s="165">
        <v>10</v>
      </c>
      <c r="D15" s="152" t="s">
        <v>8</v>
      </c>
      <c r="E15" s="19"/>
      <c r="F15" s="143">
        <v>20</v>
      </c>
      <c r="G15" s="154">
        <v>3.89</v>
      </c>
      <c r="H15" s="154">
        <f t="shared" ref="H15:H29" si="0">F15*G15</f>
        <v>77.8</v>
      </c>
      <c r="I15" s="155"/>
      <c r="J15" s="3"/>
      <c r="K15" s="143">
        <v>20</v>
      </c>
      <c r="L15" s="8">
        <v>4.0599999999999996</v>
      </c>
      <c r="M15" s="154">
        <f t="shared" ref="M15:M29" si="1">K15*L15</f>
        <v>81.199999999999989</v>
      </c>
      <c r="N15" s="155"/>
      <c r="O15" s="156"/>
      <c r="P15" s="143">
        <v>10</v>
      </c>
      <c r="Q15" s="154">
        <v>2.9</v>
      </c>
      <c r="R15" s="154">
        <f>Q15*P15</f>
        <v>29</v>
      </c>
      <c r="S15" s="155" t="s">
        <v>240</v>
      </c>
      <c r="T15" s="14"/>
      <c r="U15" s="143"/>
      <c r="V15" s="8"/>
      <c r="W15" s="8">
        <f t="shared" ref="W15:W46" si="2">U15*V15</f>
        <v>0</v>
      </c>
      <c r="X15" s="11"/>
      <c r="Y15" s="10"/>
      <c r="Z15" s="143"/>
      <c r="AA15" s="8"/>
      <c r="AB15" s="8">
        <f t="shared" ref="AB15:AB46" si="3">Z15*AA15</f>
        <v>0</v>
      </c>
      <c r="AC15" s="11"/>
      <c r="AD15" s="10"/>
      <c r="AE15" s="7"/>
      <c r="AF15" s="8"/>
      <c r="AG15" s="8">
        <f t="shared" ref="AG15:AG46" si="4">AE15*AF15</f>
        <v>0</v>
      </c>
      <c r="AH15" s="11"/>
      <c r="AI15" s="10"/>
      <c r="AJ15" s="8">
        <f t="shared" ref="AJ15:AJ46" si="5">MIN(AR15:AW15)</f>
        <v>2.9</v>
      </c>
      <c r="AK15" s="8">
        <f t="shared" ref="AK15:AK46" si="6">AJ15*C15</f>
        <v>29</v>
      </c>
      <c r="AL15" s="12"/>
      <c r="AM15" s="1"/>
      <c r="AN15" s="8">
        <f t="shared" ref="AN15:AN46" si="7">(I15&lt;&gt;"")*G15+(N15&lt;&gt;"")*L15+(S15&lt;&gt;"")*Q15+(X15&lt;&gt;"")*V15+(AC15&lt;&gt;"")*AA15+(AH15&lt;&gt;"")*AF15</f>
        <v>2.9</v>
      </c>
      <c r="AO15" s="8">
        <f t="shared" ref="AO15:AO46" si="8">AN15*C15</f>
        <v>29</v>
      </c>
      <c r="AP15" s="13" t="str">
        <f t="shared" ref="AP15:AP46" si="9">IFERROR(INDEX($F$13:$AI$114,1,MATCH("X",F15:AI15,0)-3),"")</f>
        <v>NEOBETEL</v>
      </c>
      <c r="AQ15" s="1"/>
      <c r="AR15" s="14">
        <f t="shared" ref="AR15:AR46" si="10">IF(G15&gt;0,G15)</f>
        <v>3.89</v>
      </c>
      <c r="AS15" s="14">
        <f t="shared" ref="AS15:AS46" si="11">IF(L15&gt;0,L15)</f>
        <v>4.0599999999999996</v>
      </c>
      <c r="AT15" s="14">
        <f t="shared" ref="AT15:AT46" si="12">IF(Q15&gt;0,Q15)</f>
        <v>2.9</v>
      </c>
      <c r="AU15" s="14" t="b">
        <f t="shared" ref="AU15:AU46" si="13">IF(V15&gt;0,V15)</f>
        <v>0</v>
      </c>
      <c r="AV15" s="14" t="b">
        <f t="shared" ref="AV15:AV46" si="14">IF(AA15&gt;0,AA15)</f>
        <v>0</v>
      </c>
      <c r="AW15" s="14" t="b">
        <f t="shared" ref="AW15:AW46" si="15">IF(AF15&gt;0,AF15)</f>
        <v>0</v>
      </c>
    </row>
    <row r="16" spans="1:53" ht="15.6" x14ac:dyDescent="0.3">
      <c r="A16" s="54">
        <v>2</v>
      </c>
      <c r="B16" s="150" t="s">
        <v>176</v>
      </c>
      <c r="C16" s="171">
        <v>50</v>
      </c>
      <c r="D16" s="152" t="s">
        <v>8</v>
      </c>
      <c r="E16" s="19"/>
      <c r="F16" s="153">
        <v>50</v>
      </c>
      <c r="G16" s="154">
        <v>1.2</v>
      </c>
      <c r="H16" s="154">
        <f t="shared" si="0"/>
        <v>60</v>
      </c>
      <c r="I16" s="155"/>
      <c r="J16" s="14"/>
      <c r="K16" s="153">
        <v>50</v>
      </c>
      <c r="L16" s="157">
        <v>3.16</v>
      </c>
      <c r="M16" s="154">
        <f t="shared" si="1"/>
        <v>158</v>
      </c>
      <c r="N16" s="155"/>
      <c r="O16" s="14"/>
      <c r="P16" s="153">
        <v>50</v>
      </c>
      <c r="Q16" s="157">
        <v>0.65</v>
      </c>
      <c r="R16" s="157">
        <f t="shared" ref="R16:R47" si="16">P16*Q16</f>
        <v>32.5</v>
      </c>
      <c r="S16" s="155" t="s">
        <v>240</v>
      </c>
      <c r="T16" s="14"/>
      <c r="U16" s="143"/>
      <c r="V16" s="8"/>
      <c r="W16" s="8">
        <f t="shared" si="2"/>
        <v>0</v>
      </c>
      <c r="X16" s="11"/>
      <c r="Y16" s="10"/>
      <c r="Z16" s="143"/>
      <c r="AA16" s="8"/>
      <c r="AB16" s="8">
        <f t="shared" si="3"/>
        <v>0</v>
      </c>
      <c r="AC16" s="11"/>
      <c r="AD16" s="10"/>
      <c r="AE16" s="7"/>
      <c r="AF16" s="8"/>
      <c r="AG16" s="8">
        <f t="shared" si="4"/>
        <v>0</v>
      </c>
      <c r="AH16" s="11"/>
      <c r="AI16" s="10"/>
      <c r="AJ16" s="8">
        <f t="shared" si="5"/>
        <v>0.65</v>
      </c>
      <c r="AK16" s="8">
        <f t="shared" si="6"/>
        <v>32.5</v>
      </c>
      <c r="AL16" s="12"/>
      <c r="AM16" s="1"/>
      <c r="AN16" s="8">
        <f t="shared" si="7"/>
        <v>0.65</v>
      </c>
      <c r="AO16" s="8">
        <f t="shared" si="8"/>
        <v>32.5</v>
      </c>
      <c r="AP16" s="13" t="str">
        <f t="shared" si="9"/>
        <v>NEOBETEL</v>
      </c>
      <c r="AQ16" s="1"/>
      <c r="AR16" s="14">
        <f t="shared" si="10"/>
        <v>1.2</v>
      </c>
      <c r="AS16" s="14">
        <f t="shared" si="11"/>
        <v>3.16</v>
      </c>
      <c r="AT16" s="14">
        <f t="shared" si="12"/>
        <v>0.65</v>
      </c>
      <c r="AU16" s="14" t="b">
        <f t="shared" si="13"/>
        <v>0</v>
      </c>
      <c r="AV16" s="14" t="b">
        <f t="shared" si="14"/>
        <v>0</v>
      </c>
      <c r="AW16" s="14" t="b">
        <f t="shared" si="15"/>
        <v>0</v>
      </c>
    </row>
    <row r="17" spans="1:49" ht="15.6" x14ac:dyDescent="0.3">
      <c r="A17" s="54">
        <v>3</v>
      </c>
      <c r="B17" s="150" t="s">
        <v>177</v>
      </c>
      <c r="C17" s="171">
        <v>20</v>
      </c>
      <c r="D17" s="152" t="s">
        <v>8</v>
      </c>
      <c r="E17" s="44"/>
      <c r="F17" s="143">
        <v>20</v>
      </c>
      <c r="G17" s="154">
        <v>5.5</v>
      </c>
      <c r="H17" s="154">
        <f t="shared" si="0"/>
        <v>110</v>
      </c>
      <c r="I17" s="11"/>
      <c r="J17" s="10"/>
      <c r="K17" s="143">
        <v>20</v>
      </c>
      <c r="L17" s="157">
        <v>27.96</v>
      </c>
      <c r="M17" s="154">
        <f t="shared" si="1"/>
        <v>559.20000000000005</v>
      </c>
      <c r="N17" s="11" t="s">
        <v>240</v>
      </c>
      <c r="O17" s="10"/>
      <c r="P17" s="143">
        <v>20</v>
      </c>
      <c r="Q17" s="8"/>
      <c r="R17" s="8">
        <f t="shared" si="16"/>
        <v>0</v>
      </c>
      <c r="S17" s="11"/>
      <c r="T17" s="10"/>
      <c r="U17" s="143"/>
      <c r="V17" s="8"/>
      <c r="W17" s="8">
        <f t="shared" si="2"/>
        <v>0</v>
      </c>
      <c r="X17" s="11"/>
      <c r="Y17" s="10"/>
      <c r="Z17" s="143"/>
      <c r="AA17" s="8"/>
      <c r="AB17" s="8">
        <f t="shared" si="3"/>
        <v>0</v>
      </c>
      <c r="AC17" s="11"/>
      <c r="AD17" s="10"/>
      <c r="AE17" s="7"/>
      <c r="AF17" s="8"/>
      <c r="AG17" s="8">
        <f t="shared" si="4"/>
        <v>0</v>
      </c>
      <c r="AH17" s="11"/>
      <c r="AI17" s="10"/>
      <c r="AJ17" s="8">
        <f t="shared" si="5"/>
        <v>5.5</v>
      </c>
      <c r="AK17" s="8">
        <f t="shared" si="6"/>
        <v>110</v>
      </c>
      <c r="AL17" s="12"/>
      <c r="AM17" s="1"/>
      <c r="AN17" s="8">
        <f t="shared" si="7"/>
        <v>27.96</v>
      </c>
      <c r="AO17" s="8">
        <f t="shared" si="8"/>
        <v>559.20000000000005</v>
      </c>
      <c r="AP17" s="13" t="str">
        <f t="shared" si="9"/>
        <v>RESSEG</v>
      </c>
      <c r="AQ17" s="1"/>
      <c r="AR17" s="14">
        <f t="shared" si="10"/>
        <v>5.5</v>
      </c>
      <c r="AS17" s="14">
        <f t="shared" si="11"/>
        <v>27.96</v>
      </c>
      <c r="AT17" s="14" t="b">
        <f t="shared" si="12"/>
        <v>0</v>
      </c>
      <c r="AU17" s="14" t="b">
        <f t="shared" si="13"/>
        <v>0</v>
      </c>
      <c r="AV17" s="14" t="b">
        <f t="shared" si="14"/>
        <v>0</v>
      </c>
      <c r="AW17" s="14" t="b">
        <f t="shared" si="15"/>
        <v>0</v>
      </c>
    </row>
    <row r="18" spans="1:49" ht="15.6" x14ac:dyDescent="0.3">
      <c r="A18" s="54">
        <v>4</v>
      </c>
      <c r="B18" s="150" t="s">
        <v>178</v>
      </c>
      <c r="C18" s="171">
        <v>50</v>
      </c>
      <c r="D18" s="152" t="s">
        <v>8</v>
      </c>
      <c r="E18" s="44"/>
      <c r="F18" s="143">
        <v>50</v>
      </c>
      <c r="G18" s="154">
        <v>5</v>
      </c>
      <c r="H18" s="154">
        <f t="shared" si="0"/>
        <v>250</v>
      </c>
      <c r="I18" s="11"/>
      <c r="J18" s="10"/>
      <c r="K18" s="143">
        <v>50</v>
      </c>
      <c r="L18" s="157">
        <v>3.49</v>
      </c>
      <c r="M18" s="154">
        <f t="shared" si="1"/>
        <v>174.5</v>
      </c>
      <c r="N18" s="11"/>
      <c r="O18" s="10"/>
      <c r="P18" s="143">
        <v>50</v>
      </c>
      <c r="Q18" s="8">
        <v>2.52</v>
      </c>
      <c r="R18" s="8">
        <f t="shared" si="16"/>
        <v>126</v>
      </c>
      <c r="S18" s="11" t="s">
        <v>240</v>
      </c>
      <c r="T18" s="10"/>
      <c r="U18" s="143"/>
      <c r="V18" s="8"/>
      <c r="W18" s="8">
        <f t="shared" si="2"/>
        <v>0</v>
      </c>
      <c r="X18" s="11"/>
      <c r="Y18" s="10"/>
      <c r="Z18" s="143"/>
      <c r="AA18" s="8"/>
      <c r="AB18" s="8">
        <f t="shared" si="3"/>
        <v>0</v>
      </c>
      <c r="AC18" s="11"/>
      <c r="AD18" s="10"/>
      <c r="AE18" s="7"/>
      <c r="AF18" s="8"/>
      <c r="AG18" s="8">
        <f t="shared" si="4"/>
        <v>0</v>
      </c>
      <c r="AH18" s="11"/>
      <c r="AI18" s="10"/>
      <c r="AJ18" s="8">
        <f t="shared" si="5"/>
        <v>2.52</v>
      </c>
      <c r="AK18" s="8">
        <f t="shared" si="6"/>
        <v>126</v>
      </c>
      <c r="AL18" s="12"/>
      <c r="AM18" s="1"/>
      <c r="AN18" s="8">
        <f t="shared" si="7"/>
        <v>2.52</v>
      </c>
      <c r="AO18" s="8">
        <f t="shared" si="8"/>
        <v>126</v>
      </c>
      <c r="AP18" s="13" t="str">
        <f t="shared" si="9"/>
        <v>NEOBETEL</v>
      </c>
      <c r="AQ18" s="1"/>
      <c r="AR18" s="14">
        <f t="shared" si="10"/>
        <v>5</v>
      </c>
      <c r="AS18" s="14">
        <f t="shared" si="11"/>
        <v>3.49</v>
      </c>
      <c r="AT18" s="14">
        <f t="shared" si="12"/>
        <v>2.52</v>
      </c>
      <c r="AU18" s="14" t="b">
        <f t="shared" si="13"/>
        <v>0</v>
      </c>
      <c r="AV18" s="14" t="b">
        <f t="shared" si="14"/>
        <v>0</v>
      </c>
      <c r="AW18" s="14" t="b">
        <f t="shared" si="15"/>
        <v>0</v>
      </c>
    </row>
    <row r="19" spans="1:49" ht="15.6" x14ac:dyDescent="0.3">
      <c r="A19" s="54">
        <v>5</v>
      </c>
      <c r="B19" s="55" t="s">
        <v>179</v>
      </c>
      <c r="C19" s="151"/>
      <c r="D19" s="152" t="s">
        <v>8</v>
      </c>
      <c r="E19" s="44"/>
      <c r="F19" s="143"/>
      <c r="G19" s="154">
        <v>21.5</v>
      </c>
      <c r="H19" s="154">
        <f t="shared" si="0"/>
        <v>0</v>
      </c>
      <c r="I19" s="11"/>
      <c r="J19" s="10"/>
      <c r="K19" s="143"/>
      <c r="L19" s="157">
        <v>20.68</v>
      </c>
      <c r="M19" s="154">
        <f t="shared" si="1"/>
        <v>0</v>
      </c>
      <c r="N19" s="11"/>
      <c r="O19" s="10"/>
      <c r="P19" s="143"/>
      <c r="Q19" s="8"/>
      <c r="R19" s="8">
        <f t="shared" si="16"/>
        <v>0</v>
      </c>
      <c r="S19" s="11"/>
      <c r="T19" s="10"/>
      <c r="U19" s="143"/>
      <c r="V19" s="8"/>
      <c r="W19" s="8">
        <f t="shared" si="2"/>
        <v>0</v>
      </c>
      <c r="X19" s="11"/>
      <c r="Y19" s="10"/>
      <c r="Z19" s="143"/>
      <c r="AA19" s="8"/>
      <c r="AB19" s="8">
        <f t="shared" si="3"/>
        <v>0</v>
      </c>
      <c r="AC19" s="11"/>
      <c r="AD19" s="10"/>
      <c r="AE19" s="7"/>
      <c r="AF19" s="8"/>
      <c r="AG19" s="8">
        <f t="shared" si="4"/>
        <v>0</v>
      </c>
      <c r="AH19" s="11"/>
      <c r="AI19" s="10"/>
      <c r="AJ19" s="8">
        <f t="shared" si="5"/>
        <v>20.68</v>
      </c>
      <c r="AK19" s="8">
        <f t="shared" si="6"/>
        <v>0</v>
      </c>
      <c r="AL19" s="12"/>
      <c r="AM19" s="1"/>
      <c r="AN19" s="8">
        <f t="shared" si="7"/>
        <v>0</v>
      </c>
      <c r="AO19" s="8">
        <f t="shared" si="8"/>
        <v>0</v>
      </c>
      <c r="AP19" s="13" t="str">
        <f t="shared" si="9"/>
        <v/>
      </c>
      <c r="AQ19" s="1"/>
      <c r="AR19" s="14">
        <f t="shared" si="10"/>
        <v>21.5</v>
      </c>
      <c r="AS19" s="14">
        <f t="shared" si="11"/>
        <v>20.68</v>
      </c>
      <c r="AT19" s="14" t="b">
        <f t="shared" si="12"/>
        <v>0</v>
      </c>
      <c r="AU19" s="14" t="b">
        <f t="shared" si="13"/>
        <v>0</v>
      </c>
      <c r="AV19" s="14" t="b">
        <f t="shared" si="14"/>
        <v>0</v>
      </c>
      <c r="AW19" s="14" t="b">
        <f t="shared" si="15"/>
        <v>0</v>
      </c>
    </row>
    <row r="20" spans="1:49" ht="15.6" x14ac:dyDescent="0.3">
      <c r="A20" s="54">
        <v>6</v>
      </c>
      <c r="B20" s="172" t="s">
        <v>180</v>
      </c>
      <c r="C20" s="173">
        <v>10</v>
      </c>
      <c r="D20" s="174" t="s">
        <v>8</v>
      </c>
      <c r="E20" s="44"/>
      <c r="F20" s="143">
        <v>10</v>
      </c>
      <c r="G20" s="8">
        <v>2.2999999999999998</v>
      </c>
      <c r="H20" s="154">
        <f t="shared" si="0"/>
        <v>23</v>
      </c>
      <c r="I20" s="11"/>
      <c r="J20" s="10"/>
      <c r="K20" s="143">
        <v>10</v>
      </c>
      <c r="L20" s="8">
        <v>2.12</v>
      </c>
      <c r="M20" s="154">
        <f t="shared" si="1"/>
        <v>21.200000000000003</v>
      </c>
      <c r="N20" s="11"/>
      <c r="O20" s="10"/>
      <c r="P20" s="143">
        <v>10</v>
      </c>
      <c r="Q20" s="8">
        <v>1.79</v>
      </c>
      <c r="R20" s="8">
        <f t="shared" si="16"/>
        <v>17.899999999999999</v>
      </c>
      <c r="S20" s="11" t="s">
        <v>240</v>
      </c>
      <c r="T20" s="10"/>
      <c r="U20" s="143"/>
      <c r="V20" s="8"/>
      <c r="W20" s="8">
        <f t="shared" si="2"/>
        <v>0</v>
      </c>
      <c r="X20" s="11"/>
      <c r="Y20" s="10"/>
      <c r="Z20" s="143"/>
      <c r="AA20" s="8"/>
      <c r="AB20" s="8">
        <f t="shared" si="3"/>
        <v>0</v>
      </c>
      <c r="AC20" s="11"/>
      <c r="AD20" s="10"/>
      <c r="AE20" s="7"/>
      <c r="AF20" s="8"/>
      <c r="AG20" s="8">
        <f t="shared" si="4"/>
        <v>0</v>
      </c>
      <c r="AH20" s="11"/>
      <c r="AI20" s="10"/>
      <c r="AJ20" s="8">
        <f t="shared" si="5"/>
        <v>1.79</v>
      </c>
      <c r="AK20" s="8">
        <f t="shared" si="6"/>
        <v>17.899999999999999</v>
      </c>
      <c r="AL20" s="12"/>
      <c r="AM20" s="1"/>
      <c r="AN20" s="8">
        <f t="shared" si="7"/>
        <v>1.79</v>
      </c>
      <c r="AO20" s="8">
        <f t="shared" si="8"/>
        <v>17.899999999999999</v>
      </c>
      <c r="AP20" s="13" t="str">
        <f t="shared" si="9"/>
        <v>NEOBETEL</v>
      </c>
      <c r="AQ20" s="1"/>
      <c r="AR20" s="14">
        <f t="shared" si="10"/>
        <v>2.2999999999999998</v>
      </c>
      <c r="AS20" s="14">
        <f t="shared" si="11"/>
        <v>2.12</v>
      </c>
      <c r="AT20" s="14">
        <f t="shared" si="12"/>
        <v>1.79</v>
      </c>
      <c r="AU20" s="14" t="b">
        <f t="shared" si="13"/>
        <v>0</v>
      </c>
      <c r="AV20" s="14" t="b">
        <f t="shared" si="14"/>
        <v>0</v>
      </c>
      <c r="AW20" s="14" t="b">
        <f t="shared" si="15"/>
        <v>0</v>
      </c>
    </row>
    <row r="21" spans="1:49" ht="15.6" x14ac:dyDescent="0.3">
      <c r="A21" s="54">
        <v>7</v>
      </c>
      <c r="B21" s="175" t="s">
        <v>181</v>
      </c>
      <c r="C21" s="173">
        <v>5</v>
      </c>
      <c r="D21" s="174" t="s">
        <v>8</v>
      </c>
      <c r="E21" s="44"/>
      <c r="F21" s="143">
        <v>5</v>
      </c>
      <c r="G21" s="8">
        <v>45</v>
      </c>
      <c r="H21" s="154">
        <f t="shared" si="0"/>
        <v>225</v>
      </c>
      <c r="I21" s="11"/>
      <c r="J21" s="10"/>
      <c r="K21" s="143">
        <v>5</v>
      </c>
      <c r="L21" s="8">
        <v>47.52</v>
      </c>
      <c r="M21" s="154">
        <f t="shared" si="1"/>
        <v>237.60000000000002</v>
      </c>
      <c r="N21" s="11"/>
      <c r="O21" s="10"/>
      <c r="P21" s="143">
        <v>5</v>
      </c>
      <c r="Q21" s="8">
        <v>37.5</v>
      </c>
      <c r="R21" s="8">
        <f t="shared" si="16"/>
        <v>187.5</v>
      </c>
      <c r="S21" s="11" t="s">
        <v>240</v>
      </c>
      <c r="T21" s="10"/>
      <c r="U21" s="7"/>
      <c r="V21" s="8"/>
      <c r="W21" s="8">
        <f t="shared" si="2"/>
        <v>0</v>
      </c>
      <c r="X21" s="11"/>
      <c r="Y21" s="10"/>
      <c r="Z21" s="143"/>
      <c r="AA21" s="8"/>
      <c r="AB21" s="8">
        <f t="shared" si="3"/>
        <v>0</v>
      </c>
      <c r="AC21" s="11"/>
      <c r="AD21" s="10"/>
      <c r="AE21" s="7"/>
      <c r="AF21" s="8"/>
      <c r="AG21" s="8">
        <f t="shared" si="4"/>
        <v>0</v>
      </c>
      <c r="AH21" s="11"/>
      <c r="AI21" s="10"/>
      <c r="AJ21" s="8">
        <f t="shared" si="5"/>
        <v>37.5</v>
      </c>
      <c r="AK21" s="8">
        <f t="shared" si="6"/>
        <v>187.5</v>
      </c>
      <c r="AL21" s="12"/>
      <c r="AM21" s="1"/>
      <c r="AN21" s="8">
        <f t="shared" si="7"/>
        <v>37.5</v>
      </c>
      <c r="AO21" s="8">
        <f t="shared" si="8"/>
        <v>187.5</v>
      </c>
      <c r="AP21" s="13" t="str">
        <f t="shared" si="9"/>
        <v>NEOBETEL</v>
      </c>
      <c r="AQ21" s="1"/>
      <c r="AR21" s="14">
        <f t="shared" si="10"/>
        <v>45</v>
      </c>
      <c r="AS21" s="14">
        <f t="shared" si="11"/>
        <v>47.52</v>
      </c>
      <c r="AT21" s="14">
        <f t="shared" si="12"/>
        <v>37.5</v>
      </c>
      <c r="AU21" s="14" t="b">
        <f t="shared" si="13"/>
        <v>0</v>
      </c>
      <c r="AV21" s="14" t="b">
        <f t="shared" si="14"/>
        <v>0</v>
      </c>
      <c r="AW21" s="14" t="b">
        <f t="shared" si="15"/>
        <v>0</v>
      </c>
    </row>
    <row r="22" spans="1:49" ht="15.6" x14ac:dyDescent="0.3">
      <c r="A22" s="54">
        <v>8</v>
      </c>
      <c r="B22" s="172" t="s">
        <v>182</v>
      </c>
      <c r="C22" s="173">
        <v>5</v>
      </c>
      <c r="D22" s="174" t="s">
        <v>8</v>
      </c>
      <c r="E22" s="44"/>
      <c r="F22" s="143">
        <v>5</v>
      </c>
      <c r="G22" s="8">
        <v>45</v>
      </c>
      <c r="H22" s="154">
        <f t="shared" si="0"/>
        <v>225</v>
      </c>
      <c r="I22" s="11"/>
      <c r="J22" s="10"/>
      <c r="K22" s="143">
        <v>5</v>
      </c>
      <c r="L22" s="8">
        <v>47.52</v>
      </c>
      <c r="M22" s="154">
        <f t="shared" si="1"/>
        <v>237.60000000000002</v>
      </c>
      <c r="N22" s="11"/>
      <c r="O22" s="10"/>
      <c r="P22" s="143">
        <v>5</v>
      </c>
      <c r="Q22" s="8">
        <v>37.5</v>
      </c>
      <c r="R22" s="8">
        <f t="shared" si="16"/>
        <v>187.5</v>
      </c>
      <c r="S22" s="11" t="s">
        <v>240</v>
      </c>
      <c r="T22" s="10"/>
      <c r="U22" s="7"/>
      <c r="V22" s="8"/>
      <c r="W22" s="8">
        <f t="shared" si="2"/>
        <v>0</v>
      </c>
      <c r="X22" s="11"/>
      <c r="Y22" s="10"/>
      <c r="Z22" s="143"/>
      <c r="AA22" s="8"/>
      <c r="AB22" s="8">
        <f t="shared" si="3"/>
        <v>0</v>
      </c>
      <c r="AC22" s="11"/>
      <c r="AD22" s="10"/>
      <c r="AE22" s="7"/>
      <c r="AF22" s="8"/>
      <c r="AG22" s="8">
        <f t="shared" si="4"/>
        <v>0</v>
      </c>
      <c r="AH22" s="11"/>
      <c r="AI22" s="10"/>
      <c r="AJ22" s="8">
        <f t="shared" si="5"/>
        <v>37.5</v>
      </c>
      <c r="AK22" s="8">
        <f t="shared" si="6"/>
        <v>187.5</v>
      </c>
      <c r="AL22" s="12"/>
      <c r="AM22" s="1"/>
      <c r="AN22" s="8">
        <f t="shared" si="7"/>
        <v>37.5</v>
      </c>
      <c r="AO22" s="8">
        <f t="shared" si="8"/>
        <v>187.5</v>
      </c>
      <c r="AP22" s="13" t="str">
        <f t="shared" si="9"/>
        <v>NEOBETEL</v>
      </c>
      <c r="AQ22" s="1"/>
      <c r="AR22" s="14">
        <f t="shared" si="10"/>
        <v>45</v>
      </c>
      <c r="AS22" s="14">
        <f t="shared" si="11"/>
        <v>47.52</v>
      </c>
      <c r="AT22" s="14">
        <f t="shared" si="12"/>
        <v>37.5</v>
      </c>
      <c r="AU22" s="14" t="b">
        <f t="shared" si="13"/>
        <v>0</v>
      </c>
      <c r="AV22" s="14" t="b">
        <f t="shared" si="14"/>
        <v>0</v>
      </c>
      <c r="AW22" s="14" t="b">
        <f t="shared" si="15"/>
        <v>0</v>
      </c>
    </row>
    <row r="23" spans="1:49" ht="15.6" x14ac:dyDescent="0.3">
      <c r="A23" s="54">
        <v>9</v>
      </c>
      <c r="B23" s="170" t="s">
        <v>183</v>
      </c>
      <c r="C23" s="171">
        <v>5</v>
      </c>
      <c r="D23" s="152" t="s">
        <v>8</v>
      </c>
      <c r="E23" s="44"/>
      <c r="F23" s="143">
        <v>5</v>
      </c>
      <c r="G23" s="8">
        <v>45</v>
      </c>
      <c r="H23" s="154">
        <f t="shared" si="0"/>
        <v>225</v>
      </c>
      <c r="I23" s="11"/>
      <c r="J23" s="10"/>
      <c r="K23" s="143">
        <v>5</v>
      </c>
      <c r="L23" s="8">
        <v>47.52</v>
      </c>
      <c r="M23" s="154">
        <f t="shared" si="1"/>
        <v>237.60000000000002</v>
      </c>
      <c r="N23" s="11"/>
      <c r="O23" s="10"/>
      <c r="P23" s="143">
        <v>5</v>
      </c>
      <c r="Q23" s="8">
        <v>37.5</v>
      </c>
      <c r="R23" s="8">
        <f t="shared" si="16"/>
        <v>187.5</v>
      </c>
      <c r="S23" s="11" t="s">
        <v>240</v>
      </c>
      <c r="T23" s="10"/>
      <c r="U23" s="7"/>
      <c r="V23" s="8"/>
      <c r="W23" s="8">
        <f t="shared" si="2"/>
        <v>0</v>
      </c>
      <c r="X23" s="11"/>
      <c r="Y23" s="10"/>
      <c r="Z23" s="143"/>
      <c r="AA23" s="8"/>
      <c r="AB23" s="8">
        <f t="shared" si="3"/>
        <v>0</v>
      </c>
      <c r="AC23" s="11"/>
      <c r="AD23" s="10"/>
      <c r="AE23" s="7"/>
      <c r="AF23" s="8"/>
      <c r="AG23" s="8">
        <f t="shared" si="4"/>
        <v>0</v>
      </c>
      <c r="AH23" s="11"/>
      <c r="AI23" s="10"/>
      <c r="AJ23" s="8">
        <f t="shared" si="5"/>
        <v>37.5</v>
      </c>
      <c r="AK23" s="8">
        <f t="shared" si="6"/>
        <v>187.5</v>
      </c>
      <c r="AL23" s="12"/>
      <c r="AM23" s="1"/>
      <c r="AN23" s="8">
        <f t="shared" si="7"/>
        <v>37.5</v>
      </c>
      <c r="AO23" s="8">
        <f t="shared" si="8"/>
        <v>187.5</v>
      </c>
      <c r="AP23" s="13" t="str">
        <f t="shared" si="9"/>
        <v>NEOBETEL</v>
      </c>
      <c r="AQ23" s="1"/>
      <c r="AR23" s="14">
        <f t="shared" si="10"/>
        <v>45</v>
      </c>
      <c r="AS23" s="14">
        <f t="shared" si="11"/>
        <v>47.52</v>
      </c>
      <c r="AT23" s="14">
        <f t="shared" si="12"/>
        <v>37.5</v>
      </c>
      <c r="AU23" s="14" t="b">
        <f t="shared" si="13"/>
        <v>0</v>
      </c>
      <c r="AV23" s="14" t="b">
        <f t="shared" si="14"/>
        <v>0</v>
      </c>
      <c r="AW23" s="14" t="b">
        <f t="shared" si="15"/>
        <v>0</v>
      </c>
    </row>
    <row r="24" spans="1:49" ht="15.6" x14ac:dyDescent="0.3">
      <c r="A24" s="54">
        <v>10</v>
      </c>
      <c r="B24" s="55" t="s">
        <v>184</v>
      </c>
      <c r="C24" s="171">
        <v>5</v>
      </c>
      <c r="D24" s="152" t="s">
        <v>8</v>
      </c>
      <c r="E24" s="44"/>
      <c r="F24" s="143">
        <v>5</v>
      </c>
      <c r="G24" s="8">
        <v>45</v>
      </c>
      <c r="H24" s="154">
        <f t="shared" si="0"/>
        <v>225</v>
      </c>
      <c r="I24" s="11"/>
      <c r="J24" s="10"/>
      <c r="K24" s="143">
        <v>5</v>
      </c>
      <c r="L24" s="8">
        <v>47.52</v>
      </c>
      <c r="M24" s="154">
        <f t="shared" si="1"/>
        <v>237.60000000000002</v>
      </c>
      <c r="N24" s="11"/>
      <c r="O24" s="10"/>
      <c r="P24" s="143">
        <v>5</v>
      </c>
      <c r="Q24" s="8">
        <v>37.5</v>
      </c>
      <c r="R24" s="8">
        <f t="shared" si="16"/>
        <v>187.5</v>
      </c>
      <c r="S24" s="11" t="s">
        <v>240</v>
      </c>
      <c r="T24" s="10"/>
      <c r="U24" s="7"/>
      <c r="V24" s="8"/>
      <c r="W24" s="8">
        <f t="shared" si="2"/>
        <v>0</v>
      </c>
      <c r="X24" s="11"/>
      <c r="Y24" s="10"/>
      <c r="Z24" s="7"/>
      <c r="AA24" s="8"/>
      <c r="AB24" s="8">
        <f t="shared" si="3"/>
        <v>0</v>
      </c>
      <c r="AC24" s="11"/>
      <c r="AD24" s="10"/>
      <c r="AE24" s="7"/>
      <c r="AF24" s="8"/>
      <c r="AG24" s="8">
        <f t="shared" si="4"/>
        <v>0</v>
      </c>
      <c r="AH24" s="11"/>
      <c r="AI24" s="10"/>
      <c r="AJ24" s="8">
        <f t="shared" si="5"/>
        <v>37.5</v>
      </c>
      <c r="AK24" s="8">
        <f t="shared" si="6"/>
        <v>187.5</v>
      </c>
      <c r="AL24" s="12"/>
      <c r="AM24" s="1"/>
      <c r="AN24" s="8">
        <f t="shared" si="7"/>
        <v>37.5</v>
      </c>
      <c r="AO24" s="8">
        <f t="shared" si="8"/>
        <v>187.5</v>
      </c>
      <c r="AP24" s="13" t="str">
        <f t="shared" si="9"/>
        <v>NEOBETEL</v>
      </c>
      <c r="AQ24" s="1"/>
      <c r="AR24" s="14">
        <f t="shared" si="10"/>
        <v>45</v>
      </c>
      <c r="AS24" s="14">
        <f t="shared" si="11"/>
        <v>47.52</v>
      </c>
      <c r="AT24" s="14">
        <f t="shared" si="12"/>
        <v>37.5</v>
      </c>
      <c r="AU24" s="14" t="b">
        <f t="shared" si="13"/>
        <v>0</v>
      </c>
      <c r="AV24" s="14" t="b">
        <f t="shared" si="14"/>
        <v>0</v>
      </c>
      <c r="AW24" s="14" t="b">
        <f t="shared" si="15"/>
        <v>0</v>
      </c>
    </row>
    <row r="25" spans="1:49" ht="15.6" x14ac:dyDescent="0.3">
      <c r="A25" s="54">
        <v>11</v>
      </c>
      <c r="B25" s="55" t="s">
        <v>185</v>
      </c>
      <c r="C25" s="171">
        <v>5</v>
      </c>
      <c r="D25" s="152" t="s">
        <v>8</v>
      </c>
      <c r="E25" s="44"/>
      <c r="F25" s="143">
        <v>5</v>
      </c>
      <c r="G25" s="8">
        <v>45</v>
      </c>
      <c r="H25" s="154">
        <f t="shared" si="0"/>
        <v>225</v>
      </c>
      <c r="I25" s="11"/>
      <c r="J25" s="10"/>
      <c r="K25" s="143">
        <v>5</v>
      </c>
      <c r="L25" s="8">
        <v>47.52</v>
      </c>
      <c r="M25" s="154">
        <f t="shared" si="1"/>
        <v>237.60000000000002</v>
      </c>
      <c r="N25" s="11"/>
      <c r="O25" s="10"/>
      <c r="P25" s="143">
        <v>5</v>
      </c>
      <c r="Q25" s="8">
        <v>37.5</v>
      </c>
      <c r="R25" s="8">
        <f t="shared" si="16"/>
        <v>187.5</v>
      </c>
      <c r="S25" s="11" t="s">
        <v>240</v>
      </c>
      <c r="T25" s="10"/>
      <c r="U25" s="7"/>
      <c r="V25" s="8"/>
      <c r="W25" s="8">
        <f t="shared" si="2"/>
        <v>0</v>
      </c>
      <c r="X25" s="11"/>
      <c r="Y25" s="10"/>
      <c r="Z25" s="7"/>
      <c r="AA25" s="8"/>
      <c r="AB25" s="8">
        <f t="shared" si="3"/>
        <v>0</v>
      </c>
      <c r="AC25" s="11"/>
      <c r="AD25" s="10"/>
      <c r="AE25" s="7"/>
      <c r="AF25" s="8"/>
      <c r="AG25" s="8">
        <f t="shared" si="4"/>
        <v>0</v>
      </c>
      <c r="AH25" s="11"/>
      <c r="AI25" s="10"/>
      <c r="AJ25" s="8">
        <f t="shared" si="5"/>
        <v>37.5</v>
      </c>
      <c r="AK25" s="8">
        <f t="shared" si="6"/>
        <v>187.5</v>
      </c>
      <c r="AL25" s="12"/>
      <c r="AM25" s="1"/>
      <c r="AN25" s="8">
        <f t="shared" si="7"/>
        <v>37.5</v>
      </c>
      <c r="AO25" s="8">
        <f t="shared" si="8"/>
        <v>187.5</v>
      </c>
      <c r="AP25" s="13" t="str">
        <f t="shared" si="9"/>
        <v>NEOBETEL</v>
      </c>
      <c r="AQ25" s="1"/>
      <c r="AR25" s="14">
        <f t="shared" si="10"/>
        <v>45</v>
      </c>
      <c r="AS25" s="14">
        <f t="shared" si="11"/>
        <v>47.52</v>
      </c>
      <c r="AT25" s="14">
        <f t="shared" si="12"/>
        <v>37.5</v>
      </c>
      <c r="AU25" s="14" t="b">
        <f t="shared" si="13"/>
        <v>0</v>
      </c>
      <c r="AV25" s="14" t="b">
        <f t="shared" si="14"/>
        <v>0</v>
      </c>
      <c r="AW25" s="14" t="b">
        <f t="shared" si="15"/>
        <v>0</v>
      </c>
    </row>
    <row r="26" spans="1:49" ht="15.6" x14ac:dyDescent="0.3">
      <c r="A26" s="54">
        <v>12</v>
      </c>
      <c r="B26" s="55" t="s">
        <v>186</v>
      </c>
      <c r="C26" s="171">
        <v>25</v>
      </c>
      <c r="D26" s="152" t="s">
        <v>8</v>
      </c>
      <c r="E26" s="44"/>
      <c r="F26" s="143">
        <v>25</v>
      </c>
      <c r="G26" s="8">
        <v>17.5</v>
      </c>
      <c r="H26" s="154">
        <f t="shared" si="0"/>
        <v>437.5</v>
      </c>
      <c r="I26" s="11"/>
      <c r="J26" s="10"/>
      <c r="K26" s="143">
        <v>25</v>
      </c>
      <c r="L26" s="8">
        <v>17.059999999999999</v>
      </c>
      <c r="M26" s="154">
        <f t="shared" si="1"/>
        <v>426.49999999999994</v>
      </c>
      <c r="N26" s="11"/>
      <c r="O26" s="10"/>
      <c r="P26" s="143">
        <v>25</v>
      </c>
      <c r="Q26" s="8">
        <v>11.65</v>
      </c>
      <c r="R26" s="8">
        <f t="shared" si="16"/>
        <v>291.25</v>
      </c>
      <c r="S26" s="11" t="s">
        <v>240</v>
      </c>
      <c r="T26" s="10"/>
      <c r="U26" s="7"/>
      <c r="V26" s="8"/>
      <c r="W26" s="8">
        <f t="shared" si="2"/>
        <v>0</v>
      </c>
      <c r="X26" s="11"/>
      <c r="Y26" s="10"/>
      <c r="Z26" s="7"/>
      <c r="AA26" s="8"/>
      <c r="AB26" s="8">
        <f t="shared" si="3"/>
        <v>0</v>
      </c>
      <c r="AC26" s="11"/>
      <c r="AD26" s="10"/>
      <c r="AE26" s="7"/>
      <c r="AF26" s="8"/>
      <c r="AG26" s="8">
        <f t="shared" si="4"/>
        <v>0</v>
      </c>
      <c r="AH26" s="11"/>
      <c r="AI26" s="10"/>
      <c r="AJ26" s="8">
        <f t="shared" si="5"/>
        <v>11.65</v>
      </c>
      <c r="AK26" s="8">
        <f t="shared" si="6"/>
        <v>291.25</v>
      </c>
      <c r="AL26" s="12"/>
      <c r="AM26" s="1"/>
      <c r="AN26" s="8">
        <f t="shared" si="7"/>
        <v>11.65</v>
      </c>
      <c r="AO26" s="8">
        <f t="shared" si="8"/>
        <v>291.25</v>
      </c>
      <c r="AP26" s="13" t="str">
        <f t="shared" si="9"/>
        <v>NEOBETEL</v>
      </c>
      <c r="AQ26" s="1"/>
      <c r="AR26" s="14">
        <f t="shared" si="10"/>
        <v>17.5</v>
      </c>
      <c r="AS26" s="14">
        <f t="shared" si="11"/>
        <v>17.059999999999999</v>
      </c>
      <c r="AT26" s="14">
        <f t="shared" si="12"/>
        <v>11.65</v>
      </c>
      <c r="AU26" s="14" t="b">
        <f t="shared" si="13"/>
        <v>0</v>
      </c>
      <c r="AV26" s="14" t="b">
        <f t="shared" si="14"/>
        <v>0</v>
      </c>
      <c r="AW26" s="14" t="b">
        <f t="shared" si="15"/>
        <v>0</v>
      </c>
    </row>
    <row r="27" spans="1:49" ht="15.6" x14ac:dyDescent="0.3">
      <c r="A27" s="54">
        <v>13</v>
      </c>
      <c r="B27" s="55" t="s">
        <v>187</v>
      </c>
      <c r="C27" s="171">
        <v>6</v>
      </c>
      <c r="D27" s="152" t="s">
        <v>53</v>
      </c>
      <c r="E27" s="44"/>
      <c r="F27" s="143">
        <v>6</v>
      </c>
      <c r="G27" s="8">
        <v>12</v>
      </c>
      <c r="H27" s="154">
        <f t="shared" si="0"/>
        <v>72</v>
      </c>
      <c r="I27" s="11"/>
      <c r="J27" s="10"/>
      <c r="K27" s="143"/>
      <c r="L27" s="8"/>
      <c r="M27" s="154">
        <f t="shared" si="1"/>
        <v>0</v>
      </c>
      <c r="N27" s="11"/>
      <c r="O27" s="10"/>
      <c r="P27" s="143"/>
      <c r="Q27" s="8"/>
      <c r="R27" s="8">
        <f t="shared" si="16"/>
        <v>0</v>
      </c>
      <c r="S27" s="11"/>
      <c r="T27" s="10"/>
      <c r="U27" s="143">
        <v>6</v>
      </c>
      <c r="V27" s="8">
        <v>8.9</v>
      </c>
      <c r="W27" s="8">
        <f t="shared" si="2"/>
        <v>53.400000000000006</v>
      </c>
      <c r="X27" s="11" t="s">
        <v>250</v>
      </c>
      <c r="Y27" s="10"/>
      <c r="Z27" s="7"/>
      <c r="AA27" s="8"/>
      <c r="AB27" s="8">
        <f t="shared" si="3"/>
        <v>0</v>
      </c>
      <c r="AC27" s="11"/>
      <c r="AD27" s="10"/>
      <c r="AE27" s="7"/>
      <c r="AF27" s="8"/>
      <c r="AG27" s="8">
        <f t="shared" si="4"/>
        <v>0</v>
      </c>
      <c r="AH27" s="11"/>
      <c r="AI27" s="10"/>
      <c r="AJ27" s="8">
        <f t="shared" si="5"/>
        <v>8.9</v>
      </c>
      <c r="AK27" s="8">
        <f t="shared" si="6"/>
        <v>53.400000000000006</v>
      </c>
      <c r="AL27" s="12"/>
      <c r="AM27" s="1"/>
      <c r="AN27" s="8">
        <f t="shared" si="7"/>
        <v>8.9</v>
      </c>
      <c r="AO27" s="8">
        <f t="shared" si="8"/>
        <v>53.400000000000006</v>
      </c>
      <c r="AP27" s="13" t="str">
        <f t="shared" si="9"/>
        <v>AMPLA</v>
      </c>
      <c r="AQ27" s="1"/>
      <c r="AR27" s="14">
        <f t="shared" si="10"/>
        <v>12</v>
      </c>
      <c r="AS27" s="14" t="b">
        <f t="shared" si="11"/>
        <v>0</v>
      </c>
      <c r="AT27" s="14" t="b">
        <f t="shared" si="12"/>
        <v>0</v>
      </c>
      <c r="AU27" s="14">
        <f t="shared" si="13"/>
        <v>8.9</v>
      </c>
      <c r="AV27" s="14" t="b">
        <f t="shared" si="14"/>
        <v>0</v>
      </c>
      <c r="AW27" s="14" t="b">
        <f t="shared" si="15"/>
        <v>0</v>
      </c>
    </row>
    <row r="28" spans="1:49" ht="15.6" x14ac:dyDescent="0.3">
      <c r="A28" s="54">
        <v>14</v>
      </c>
      <c r="B28" s="55" t="s">
        <v>188</v>
      </c>
      <c r="C28" s="171">
        <v>10</v>
      </c>
      <c r="D28" s="152" t="s">
        <v>53</v>
      </c>
      <c r="E28" s="44"/>
      <c r="F28" s="143">
        <v>10</v>
      </c>
      <c r="G28" s="8">
        <v>9.6</v>
      </c>
      <c r="H28" s="154">
        <f t="shared" si="0"/>
        <v>96</v>
      </c>
      <c r="I28" s="11"/>
      <c r="J28" s="10"/>
      <c r="K28" s="143"/>
      <c r="L28" s="8"/>
      <c r="M28" s="154">
        <f t="shared" si="1"/>
        <v>0</v>
      </c>
      <c r="N28" s="11"/>
      <c r="O28" s="10"/>
      <c r="P28" s="143"/>
      <c r="Q28" s="8"/>
      <c r="R28" s="8">
        <f t="shared" si="16"/>
        <v>0</v>
      </c>
      <c r="S28" s="11"/>
      <c r="T28" s="10"/>
      <c r="U28" s="143">
        <v>10</v>
      </c>
      <c r="V28" s="8">
        <v>9.35</v>
      </c>
      <c r="W28" s="8">
        <f t="shared" si="2"/>
        <v>93.5</v>
      </c>
      <c r="X28" s="11" t="s">
        <v>250</v>
      </c>
      <c r="Y28" s="10"/>
      <c r="Z28" s="7"/>
      <c r="AA28" s="8"/>
      <c r="AB28" s="8">
        <f t="shared" si="3"/>
        <v>0</v>
      </c>
      <c r="AC28" s="11"/>
      <c r="AD28" s="10"/>
      <c r="AE28" s="7"/>
      <c r="AF28" s="8"/>
      <c r="AG28" s="8">
        <f t="shared" si="4"/>
        <v>0</v>
      </c>
      <c r="AH28" s="11"/>
      <c r="AI28" s="10"/>
      <c r="AJ28" s="8">
        <f t="shared" si="5"/>
        <v>9.35</v>
      </c>
      <c r="AK28" s="8">
        <f t="shared" si="6"/>
        <v>93.5</v>
      </c>
      <c r="AL28" s="12"/>
      <c r="AM28" s="1"/>
      <c r="AN28" s="8">
        <f t="shared" si="7"/>
        <v>9.35</v>
      </c>
      <c r="AO28" s="8">
        <f t="shared" si="8"/>
        <v>93.5</v>
      </c>
      <c r="AP28" s="13" t="str">
        <f t="shared" si="9"/>
        <v>AMPLA</v>
      </c>
      <c r="AQ28" s="1"/>
      <c r="AR28" s="14">
        <f t="shared" si="10"/>
        <v>9.6</v>
      </c>
      <c r="AS28" s="14" t="b">
        <f t="shared" si="11"/>
        <v>0</v>
      </c>
      <c r="AT28" s="14" t="b">
        <f t="shared" si="12"/>
        <v>0</v>
      </c>
      <c r="AU28" s="14">
        <f t="shared" si="13"/>
        <v>9.35</v>
      </c>
      <c r="AV28" s="14" t="b">
        <f t="shared" si="14"/>
        <v>0</v>
      </c>
      <c r="AW28" s="14" t="b">
        <f t="shared" si="15"/>
        <v>0</v>
      </c>
    </row>
    <row r="29" spans="1:49" ht="15.6" x14ac:dyDescent="0.3">
      <c r="A29" s="54">
        <v>15</v>
      </c>
      <c r="B29" s="170" t="s">
        <v>189</v>
      </c>
      <c r="C29" s="171">
        <v>50</v>
      </c>
      <c r="D29" s="152" t="s">
        <v>8</v>
      </c>
      <c r="E29" s="44"/>
      <c r="F29" s="143">
        <v>50</v>
      </c>
      <c r="G29" s="8">
        <v>1.2</v>
      </c>
      <c r="H29" s="154">
        <f t="shared" si="0"/>
        <v>60</v>
      </c>
      <c r="I29" s="11" t="s">
        <v>250</v>
      </c>
      <c r="J29" s="10"/>
      <c r="K29" s="143"/>
      <c r="L29" s="8"/>
      <c r="M29" s="154">
        <f t="shared" si="1"/>
        <v>0</v>
      </c>
      <c r="N29" s="11"/>
      <c r="O29" s="10"/>
      <c r="P29" s="143"/>
      <c r="Q29" s="8"/>
      <c r="R29" s="8">
        <f t="shared" si="16"/>
        <v>0</v>
      </c>
      <c r="S29" s="11"/>
      <c r="T29" s="10"/>
      <c r="U29" s="143">
        <v>50</v>
      </c>
      <c r="V29" s="8">
        <v>1.69</v>
      </c>
      <c r="W29" s="8">
        <f t="shared" si="2"/>
        <v>84.5</v>
      </c>
      <c r="X29" s="11"/>
      <c r="Y29" s="10"/>
      <c r="Z29" s="7"/>
      <c r="AA29" s="8"/>
      <c r="AB29" s="8">
        <f t="shared" si="3"/>
        <v>0</v>
      </c>
      <c r="AC29" s="11"/>
      <c r="AD29" s="10"/>
      <c r="AE29" s="7"/>
      <c r="AF29" s="8"/>
      <c r="AG29" s="8">
        <f t="shared" si="4"/>
        <v>0</v>
      </c>
      <c r="AH29" s="11"/>
      <c r="AI29" s="10"/>
      <c r="AJ29" s="8">
        <f t="shared" si="5"/>
        <v>1.2</v>
      </c>
      <c r="AK29" s="8">
        <f t="shared" si="6"/>
        <v>60</v>
      </c>
      <c r="AL29" s="12"/>
      <c r="AM29" s="1"/>
      <c r="AN29" s="8">
        <f t="shared" si="7"/>
        <v>1.2</v>
      </c>
      <c r="AO29" s="8">
        <f t="shared" si="8"/>
        <v>60</v>
      </c>
      <c r="AP29" s="13" t="str">
        <f t="shared" si="9"/>
        <v>ECOLIMP</v>
      </c>
      <c r="AQ29" s="1"/>
      <c r="AR29" s="14">
        <f t="shared" si="10"/>
        <v>1.2</v>
      </c>
      <c r="AS29" s="14" t="b">
        <f t="shared" si="11"/>
        <v>0</v>
      </c>
      <c r="AT29" s="14" t="b">
        <f t="shared" si="12"/>
        <v>0</v>
      </c>
      <c r="AU29" s="14">
        <f t="shared" si="13"/>
        <v>1.69</v>
      </c>
      <c r="AV29" s="14" t="b">
        <f t="shared" si="14"/>
        <v>0</v>
      </c>
      <c r="AW29" s="14" t="b">
        <f t="shared" si="15"/>
        <v>0</v>
      </c>
    </row>
    <row r="30" spans="1:49" ht="15.6" x14ac:dyDescent="0.3">
      <c r="A30" s="54">
        <v>16</v>
      </c>
      <c r="B30" s="170" t="s">
        <v>190</v>
      </c>
      <c r="C30" s="171">
        <v>10</v>
      </c>
      <c r="D30" s="152" t="s">
        <v>8</v>
      </c>
      <c r="E30" s="44"/>
      <c r="F30" s="143">
        <v>10</v>
      </c>
      <c r="G30" s="8">
        <v>8.5</v>
      </c>
      <c r="H30" s="154">
        <f t="shared" ref="H30:H34" si="17">F30*G30</f>
        <v>85</v>
      </c>
      <c r="I30" s="11"/>
      <c r="J30" s="10"/>
      <c r="K30" s="143"/>
      <c r="L30" s="8"/>
      <c r="M30" s="8">
        <f t="shared" ref="M30:M46" si="18">K30*L30</f>
        <v>0</v>
      </c>
      <c r="N30" s="11"/>
      <c r="O30" s="10"/>
      <c r="P30" s="143"/>
      <c r="Q30" s="8"/>
      <c r="R30" s="8">
        <f t="shared" si="16"/>
        <v>0</v>
      </c>
      <c r="S30" s="11"/>
      <c r="T30" s="10"/>
      <c r="U30" s="143">
        <v>10</v>
      </c>
      <c r="V30" s="8">
        <v>5.64</v>
      </c>
      <c r="W30" s="8">
        <f t="shared" si="2"/>
        <v>56.4</v>
      </c>
      <c r="X30" s="11" t="s">
        <v>250</v>
      </c>
      <c r="Y30" s="10"/>
      <c r="Z30" s="7"/>
      <c r="AA30" s="8"/>
      <c r="AB30" s="8">
        <f t="shared" si="3"/>
        <v>0</v>
      </c>
      <c r="AC30" s="11"/>
      <c r="AD30" s="10"/>
      <c r="AE30" s="7"/>
      <c r="AF30" s="8"/>
      <c r="AG30" s="8">
        <f t="shared" si="4"/>
        <v>0</v>
      </c>
      <c r="AH30" s="11"/>
      <c r="AI30" s="10"/>
      <c r="AJ30" s="8">
        <f t="shared" si="5"/>
        <v>5.64</v>
      </c>
      <c r="AK30" s="8">
        <f t="shared" si="6"/>
        <v>56.4</v>
      </c>
      <c r="AL30" s="12"/>
      <c r="AM30" s="1"/>
      <c r="AN30" s="8">
        <f t="shared" si="7"/>
        <v>5.64</v>
      </c>
      <c r="AO30" s="8">
        <f t="shared" si="8"/>
        <v>56.4</v>
      </c>
      <c r="AP30" s="13" t="str">
        <f t="shared" si="9"/>
        <v>AMPLA</v>
      </c>
      <c r="AQ30" s="1"/>
      <c r="AR30" s="14">
        <f t="shared" si="10"/>
        <v>8.5</v>
      </c>
      <c r="AS30" s="14" t="b">
        <f t="shared" si="11"/>
        <v>0</v>
      </c>
      <c r="AT30" s="14" t="b">
        <f t="shared" si="12"/>
        <v>0</v>
      </c>
      <c r="AU30" s="14">
        <f t="shared" si="13"/>
        <v>5.64</v>
      </c>
      <c r="AV30" s="14" t="b">
        <f t="shared" si="14"/>
        <v>0</v>
      </c>
      <c r="AW30" s="14" t="b">
        <f t="shared" si="15"/>
        <v>0</v>
      </c>
    </row>
    <row r="31" spans="1:49" ht="15.6" x14ac:dyDescent="0.3">
      <c r="A31" s="54">
        <v>17</v>
      </c>
      <c r="B31" s="55" t="s">
        <v>191</v>
      </c>
      <c r="C31" s="56">
        <v>2</v>
      </c>
      <c r="D31" s="152" t="s">
        <v>8</v>
      </c>
      <c r="E31" s="44"/>
      <c r="F31" s="143">
        <v>2</v>
      </c>
      <c r="G31" s="8">
        <v>42</v>
      </c>
      <c r="H31" s="154">
        <f t="shared" si="17"/>
        <v>84</v>
      </c>
      <c r="I31" s="11" t="s">
        <v>250</v>
      </c>
      <c r="J31" s="10"/>
      <c r="K31" s="143"/>
      <c r="L31" s="8"/>
      <c r="M31" s="8">
        <f t="shared" si="18"/>
        <v>0</v>
      </c>
      <c r="N31" s="11"/>
      <c r="O31" s="10"/>
      <c r="P31" s="143"/>
      <c r="Q31" s="8"/>
      <c r="R31" s="8">
        <f t="shared" si="16"/>
        <v>0</v>
      </c>
      <c r="S31" s="11"/>
      <c r="T31" s="10"/>
      <c r="U31" s="143">
        <v>5</v>
      </c>
      <c r="V31" s="8"/>
      <c r="W31" s="8">
        <f t="shared" si="2"/>
        <v>0</v>
      </c>
      <c r="X31" s="11"/>
      <c r="Y31" s="10"/>
      <c r="Z31" s="15"/>
      <c r="AA31" s="8"/>
      <c r="AB31" s="8">
        <f t="shared" si="3"/>
        <v>0</v>
      </c>
      <c r="AC31" s="11"/>
      <c r="AD31" s="10"/>
      <c r="AE31" s="15"/>
      <c r="AF31" s="8"/>
      <c r="AG31" s="8">
        <f t="shared" si="4"/>
        <v>0</v>
      </c>
      <c r="AH31" s="11"/>
      <c r="AI31" s="10"/>
      <c r="AJ31" s="8">
        <f t="shared" si="5"/>
        <v>42</v>
      </c>
      <c r="AK31" s="8">
        <f t="shared" si="6"/>
        <v>84</v>
      </c>
      <c r="AL31" s="12"/>
      <c r="AM31" s="1"/>
      <c r="AN31" s="8">
        <f t="shared" si="7"/>
        <v>42</v>
      </c>
      <c r="AO31" s="8">
        <f t="shared" si="8"/>
        <v>84</v>
      </c>
      <c r="AP31" s="13" t="str">
        <f t="shared" si="9"/>
        <v>ECOLIMP</v>
      </c>
      <c r="AQ31" s="1"/>
      <c r="AR31" s="14">
        <f t="shared" si="10"/>
        <v>42</v>
      </c>
      <c r="AS31" s="14" t="b">
        <f t="shared" si="11"/>
        <v>0</v>
      </c>
      <c r="AT31" s="14" t="b">
        <f t="shared" si="12"/>
        <v>0</v>
      </c>
      <c r="AU31" s="14" t="b">
        <f t="shared" si="13"/>
        <v>0</v>
      </c>
      <c r="AV31" s="14" t="b">
        <f t="shared" si="14"/>
        <v>0</v>
      </c>
      <c r="AW31" s="14" t="b">
        <f t="shared" si="15"/>
        <v>0</v>
      </c>
    </row>
    <row r="32" spans="1:49" ht="15.6" x14ac:dyDescent="0.3">
      <c r="A32" s="54">
        <v>18</v>
      </c>
      <c r="B32" s="55" t="s">
        <v>192</v>
      </c>
      <c r="C32" s="56">
        <v>20</v>
      </c>
      <c r="D32" s="152" t="s">
        <v>8</v>
      </c>
      <c r="E32" s="44"/>
      <c r="F32" s="143">
        <v>20</v>
      </c>
      <c r="G32" s="8">
        <v>3</v>
      </c>
      <c r="H32" s="154">
        <f t="shared" si="17"/>
        <v>60</v>
      </c>
      <c r="I32" s="11"/>
      <c r="J32" s="10"/>
      <c r="K32" s="143"/>
      <c r="L32" s="8"/>
      <c r="M32" s="8">
        <f t="shared" si="18"/>
        <v>0</v>
      </c>
      <c r="N32" s="11"/>
      <c r="O32" s="10"/>
      <c r="P32" s="143"/>
      <c r="Q32" s="8"/>
      <c r="R32" s="8">
        <f t="shared" si="16"/>
        <v>0</v>
      </c>
      <c r="S32" s="11"/>
      <c r="T32" s="10"/>
      <c r="U32" s="143">
        <v>20</v>
      </c>
      <c r="V32" s="8">
        <v>2.85</v>
      </c>
      <c r="W32" s="8">
        <f t="shared" si="2"/>
        <v>57</v>
      </c>
      <c r="X32" s="11" t="s">
        <v>250</v>
      </c>
      <c r="Y32" s="10"/>
      <c r="Z32" s="15"/>
      <c r="AA32" s="8"/>
      <c r="AB32" s="8">
        <f t="shared" si="3"/>
        <v>0</v>
      </c>
      <c r="AC32" s="11"/>
      <c r="AD32" s="10"/>
      <c r="AE32" s="15"/>
      <c r="AF32" s="8"/>
      <c r="AG32" s="8">
        <f t="shared" si="4"/>
        <v>0</v>
      </c>
      <c r="AH32" s="11"/>
      <c r="AI32" s="10"/>
      <c r="AJ32" s="8">
        <f t="shared" si="5"/>
        <v>2.85</v>
      </c>
      <c r="AK32" s="8">
        <f t="shared" si="6"/>
        <v>57</v>
      </c>
      <c r="AL32" s="12"/>
      <c r="AM32" s="1"/>
      <c r="AN32" s="8">
        <f t="shared" si="7"/>
        <v>2.85</v>
      </c>
      <c r="AO32" s="8">
        <f t="shared" si="8"/>
        <v>57</v>
      </c>
      <c r="AP32" s="13" t="str">
        <f t="shared" si="9"/>
        <v>AMPLA</v>
      </c>
      <c r="AQ32" s="1"/>
      <c r="AR32" s="14">
        <f t="shared" si="10"/>
        <v>3</v>
      </c>
      <c r="AS32" s="14" t="b">
        <f t="shared" si="11"/>
        <v>0</v>
      </c>
      <c r="AT32" s="14" t="b">
        <f t="shared" si="12"/>
        <v>0</v>
      </c>
      <c r="AU32" s="14">
        <f t="shared" si="13"/>
        <v>2.85</v>
      </c>
      <c r="AV32" s="14" t="b">
        <f t="shared" si="14"/>
        <v>0</v>
      </c>
      <c r="AW32" s="14" t="b">
        <f t="shared" si="15"/>
        <v>0</v>
      </c>
    </row>
    <row r="33" spans="1:49" ht="15.6" x14ac:dyDescent="0.3">
      <c r="A33" s="54">
        <v>19</v>
      </c>
      <c r="B33" s="55" t="s">
        <v>193</v>
      </c>
      <c r="C33" s="56">
        <v>10</v>
      </c>
      <c r="D33" s="152" t="s">
        <v>8</v>
      </c>
      <c r="E33" s="44"/>
      <c r="F33" s="143">
        <v>10</v>
      </c>
      <c r="G33" s="8">
        <v>2.5</v>
      </c>
      <c r="H33" s="154">
        <f t="shared" si="17"/>
        <v>25</v>
      </c>
      <c r="I33" s="11"/>
      <c r="J33" s="10"/>
      <c r="K33" s="143"/>
      <c r="L33" s="8"/>
      <c r="M33" s="8">
        <f t="shared" si="18"/>
        <v>0</v>
      </c>
      <c r="N33" s="11"/>
      <c r="O33" s="10"/>
      <c r="P33" s="143"/>
      <c r="Q33" s="8"/>
      <c r="R33" s="8">
        <f t="shared" si="16"/>
        <v>0</v>
      </c>
      <c r="S33" s="11"/>
      <c r="T33" s="10"/>
      <c r="U33" s="143">
        <v>10</v>
      </c>
      <c r="V33" s="8">
        <v>2.0499999999999998</v>
      </c>
      <c r="W33" s="8">
        <f t="shared" si="2"/>
        <v>20.5</v>
      </c>
      <c r="X33" s="11" t="s">
        <v>250</v>
      </c>
      <c r="Y33" s="10"/>
      <c r="Z33" s="15"/>
      <c r="AA33" s="8"/>
      <c r="AB33" s="8">
        <f t="shared" si="3"/>
        <v>0</v>
      </c>
      <c r="AC33" s="11"/>
      <c r="AD33" s="10"/>
      <c r="AE33" s="15"/>
      <c r="AF33" s="8"/>
      <c r="AG33" s="8">
        <f t="shared" si="4"/>
        <v>0</v>
      </c>
      <c r="AH33" s="11"/>
      <c r="AI33" s="10"/>
      <c r="AJ33" s="8">
        <f t="shared" si="5"/>
        <v>2.0499999999999998</v>
      </c>
      <c r="AK33" s="8">
        <f t="shared" si="6"/>
        <v>20.5</v>
      </c>
      <c r="AL33" s="12"/>
      <c r="AM33" s="1"/>
      <c r="AN33" s="8">
        <f t="shared" si="7"/>
        <v>2.0499999999999998</v>
      </c>
      <c r="AO33" s="8">
        <f t="shared" si="8"/>
        <v>20.5</v>
      </c>
      <c r="AP33" s="13" t="str">
        <f t="shared" si="9"/>
        <v>AMPLA</v>
      </c>
      <c r="AQ33" s="1"/>
      <c r="AR33" s="14">
        <f t="shared" si="10"/>
        <v>2.5</v>
      </c>
      <c r="AS33" s="14" t="b">
        <f t="shared" si="11"/>
        <v>0</v>
      </c>
      <c r="AT33" s="14" t="b">
        <f t="shared" si="12"/>
        <v>0</v>
      </c>
      <c r="AU33" s="14">
        <f t="shared" si="13"/>
        <v>2.0499999999999998</v>
      </c>
      <c r="AV33" s="14" t="b">
        <f t="shared" si="14"/>
        <v>0</v>
      </c>
      <c r="AW33" s="14" t="b">
        <f t="shared" si="15"/>
        <v>0</v>
      </c>
    </row>
    <row r="34" spans="1:49" ht="15.6" x14ac:dyDescent="0.3">
      <c r="A34" s="54">
        <v>20</v>
      </c>
      <c r="B34" s="55" t="s">
        <v>194</v>
      </c>
      <c r="C34" s="56">
        <v>10</v>
      </c>
      <c r="D34" s="152" t="s">
        <v>8</v>
      </c>
      <c r="E34" s="44"/>
      <c r="F34" s="143">
        <v>10</v>
      </c>
      <c r="G34" s="8">
        <v>4</v>
      </c>
      <c r="H34" s="154">
        <f t="shared" si="17"/>
        <v>40</v>
      </c>
      <c r="I34" s="11"/>
      <c r="J34" s="10"/>
      <c r="K34" s="143"/>
      <c r="L34" s="8"/>
      <c r="M34" s="8">
        <f t="shared" si="18"/>
        <v>0</v>
      </c>
      <c r="N34" s="11"/>
      <c r="O34" s="10"/>
      <c r="P34" s="143"/>
      <c r="Q34" s="8"/>
      <c r="R34" s="8">
        <f t="shared" si="16"/>
        <v>0</v>
      </c>
      <c r="S34" s="11"/>
      <c r="T34" s="10"/>
      <c r="U34" s="143">
        <v>10</v>
      </c>
      <c r="V34" s="8">
        <v>2.8940000000000001</v>
      </c>
      <c r="W34" s="8">
        <f t="shared" si="2"/>
        <v>28.94</v>
      </c>
      <c r="X34" s="11" t="s">
        <v>250</v>
      </c>
      <c r="Y34" s="10"/>
      <c r="Z34" s="15"/>
      <c r="AA34" s="8"/>
      <c r="AB34" s="8">
        <f t="shared" si="3"/>
        <v>0</v>
      </c>
      <c r="AC34" s="11"/>
      <c r="AD34" s="10"/>
      <c r="AE34" s="15"/>
      <c r="AF34" s="8"/>
      <c r="AG34" s="8">
        <f t="shared" si="4"/>
        <v>0</v>
      </c>
      <c r="AH34" s="11"/>
      <c r="AI34" s="10"/>
      <c r="AJ34" s="8">
        <f t="shared" si="5"/>
        <v>2.8940000000000001</v>
      </c>
      <c r="AK34" s="8">
        <f t="shared" si="6"/>
        <v>28.94</v>
      </c>
      <c r="AL34" s="12"/>
      <c r="AM34" s="1"/>
      <c r="AN34" s="8">
        <f t="shared" si="7"/>
        <v>2.8940000000000001</v>
      </c>
      <c r="AO34" s="8">
        <f t="shared" si="8"/>
        <v>28.94</v>
      </c>
      <c r="AP34" s="13" t="str">
        <f t="shared" si="9"/>
        <v>AMPLA</v>
      </c>
      <c r="AQ34" s="1"/>
      <c r="AR34" s="14">
        <f t="shared" si="10"/>
        <v>4</v>
      </c>
      <c r="AS34" s="14" t="b">
        <f t="shared" si="11"/>
        <v>0</v>
      </c>
      <c r="AT34" s="14" t="b">
        <f t="shared" si="12"/>
        <v>0</v>
      </c>
      <c r="AU34" s="14">
        <f t="shared" si="13"/>
        <v>2.8940000000000001</v>
      </c>
      <c r="AV34" s="14" t="b">
        <f t="shared" si="14"/>
        <v>0</v>
      </c>
      <c r="AW34" s="14" t="b">
        <f t="shared" si="15"/>
        <v>0</v>
      </c>
    </row>
    <row r="35" spans="1:49" ht="15.6" x14ac:dyDescent="0.3">
      <c r="A35" s="54">
        <v>21</v>
      </c>
      <c r="B35" s="3" t="s">
        <v>195</v>
      </c>
      <c r="C35" s="56">
        <v>20</v>
      </c>
      <c r="D35" s="152" t="s">
        <v>8</v>
      </c>
      <c r="E35" s="44"/>
      <c r="F35" s="143">
        <v>20</v>
      </c>
      <c r="G35" s="8">
        <v>3</v>
      </c>
      <c r="H35" s="154">
        <f t="shared" ref="H35:H39" si="19">F35*G35</f>
        <v>60</v>
      </c>
      <c r="I35" s="11" t="s">
        <v>250</v>
      </c>
      <c r="J35" s="10"/>
      <c r="K35" s="143"/>
      <c r="L35" s="8"/>
      <c r="M35" s="8">
        <f t="shared" si="18"/>
        <v>0</v>
      </c>
      <c r="N35" s="11"/>
      <c r="O35" s="10"/>
      <c r="P35" s="143"/>
      <c r="Q35" s="8"/>
      <c r="R35" s="8">
        <f t="shared" si="16"/>
        <v>0</v>
      </c>
      <c r="S35" s="11"/>
      <c r="T35" s="10"/>
      <c r="U35" s="143">
        <v>20</v>
      </c>
      <c r="V35" s="8">
        <v>3.06</v>
      </c>
      <c r="W35" s="8">
        <f t="shared" si="2"/>
        <v>61.2</v>
      </c>
      <c r="X35" s="11"/>
      <c r="Y35" s="10"/>
      <c r="Z35" s="15"/>
      <c r="AA35" s="8"/>
      <c r="AB35" s="8">
        <f t="shared" si="3"/>
        <v>0</v>
      </c>
      <c r="AC35" s="11"/>
      <c r="AD35" s="10"/>
      <c r="AE35" s="15"/>
      <c r="AF35" s="8"/>
      <c r="AG35" s="8">
        <f t="shared" si="4"/>
        <v>0</v>
      </c>
      <c r="AH35" s="11"/>
      <c r="AI35" s="10"/>
      <c r="AJ35" s="8">
        <f t="shared" si="5"/>
        <v>3</v>
      </c>
      <c r="AK35" s="8">
        <f t="shared" si="6"/>
        <v>60</v>
      </c>
      <c r="AL35" s="12"/>
      <c r="AM35" s="1"/>
      <c r="AN35" s="8">
        <f t="shared" si="7"/>
        <v>3</v>
      </c>
      <c r="AO35" s="8">
        <f t="shared" si="8"/>
        <v>60</v>
      </c>
      <c r="AP35" s="13" t="str">
        <f t="shared" si="9"/>
        <v>ECOLIMP</v>
      </c>
      <c r="AQ35" s="1"/>
      <c r="AR35" s="14">
        <f t="shared" si="10"/>
        <v>3</v>
      </c>
      <c r="AS35" s="14" t="b">
        <f t="shared" si="11"/>
        <v>0</v>
      </c>
      <c r="AT35" s="14" t="b">
        <f t="shared" si="12"/>
        <v>0</v>
      </c>
      <c r="AU35" s="14">
        <f t="shared" si="13"/>
        <v>3.06</v>
      </c>
      <c r="AV35" s="14" t="b">
        <f t="shared" si="14"/>
        <v>0</v>
      </c>
      <c r="AW35" s="14" t="b">
        <f t="shared" si="15"/>
        <v>0</v>
      </c>
    </row>
    <row r="36" spans="1:49" ht="15.6" x14ac:dyDescent="0.3">
      <c r="A36" s="54">
        <v>22</v>
      </c>
      <c r="B36" s="55" t="s">
        <v>196</v>
      </c>
      <c r="C36" s="56">
        <v>4</v>
      </c>
      <c r="D36" s="152" t="s">
        <v>8</v>
      </c>
      <c r="E36" s="44"/>
      <c r="F36" s="143">
        <v>4</v>
      </c>
      <c r="G36" s="8">
        <v>9.99</v>
      </c>
      <c r="H36" s="154">
        <f t="shared" si="19"/>
        <v>39.96</v>
      </c>
      <c r="I36" s="11" t="s">
        <v>250</v>
      </c>
      <c r="J36" s="10"/>
      <c r="K36" s="143"/>
      <c r="L36" s="8"/>
      <c r="M36" s="8">
        <f t="shared" si="18"/>
        <v>0</v>
      </c>
      <c r="N36" s="11"/>
      <c r="O36" s="10"/>
      <c r="P36" s="143"/>
      <c r="Q36" s="8"/>
      <c r="R36" s="8">
        <f t="shared" si="16"/>
        <v>0</v>
      </c>
      <c r="S36" s="11"/>
      <c r="T36" s="10"/>
      <c r="U36" s="143">
        <v>4</v>
      </c>
      <c r="V36" s="8"/>
      <c r="W36" s="8">
        <f t="shared" si="2"/>
        <v>0</v>
      </c>
      <c r="X36" s="11"/>
      <c r="Y36" s="10"/>
      <c r="Z36" s="15"/>
      <c r="AA36" s="8"/>
      <c r="AB36" s="8">
        <f t="shared" si="3"/>
        <v>0</v>
      </c>
      <c r="AC36" s="11"/>
      <c r="AD36" s="10"/>
      <c r="AE36" s="15"/>
      <c r="AF36" s="8"/>
      <c r="AG36" s="8">
        <f t="shared" si="4"/>
        <v>0</v>
      </c>
      <c r="AH36" s="11"/>
      <c r="AI36" s="10"/>
      <c r="AJ36" s="8">
        <f t="shared" si="5"/>
        <v>9.99</v>
      </c>
      <c r="AK36" s="8">
        <f t="shared" si="6"/>
        <v>39.96</v>
      </c>
      <c r="AL36" s="12"/>
      <c r="AM36" s="1"/>
      <c r="AN36" s="8">
        <f t="shared" si="7"/>
        <v>9.99</v>
      </c>
      <c r="AO36" s="8">
        <f t="shared" si="8"/>
        <v>39.96</v>
      </c>
      <c r="AP36" s="13" t="str">
        <f t="shared" si="9"/>
        <v>ECOLIMP</v>
      </c>
      <c r="AQ36" s="1"/>
      <c r="AR36" s="14">
        <f t="shared" si="10"/>
        <v>9.99</v>
      </c>
      <c r="AS36" s="14" t="b">
        <f t="shared" si="11"/>
        <v>0</v>
      </c>
      <c r="AT36" s="14" t="b">
        <f t="shared" si="12"/>
        <v>0</v>
      </c>
      <c r="AU36" s="14" t="b">
        <f t="shared" si="13"/>
        <v>0</v>
      </c>
      <c r="AV36" s="14" t="b">
        <f t="shared" si="14"/>
        <v>0</v>
      </c>
      <c r="AW36" s="14" t="b">
        <f t="shared" si="15"/>
        <v>0</v>
      </c>
    </row>
    <row r="37" spans="1:49" ht="15.6" x14ac:dyDescent="0.3">
      <c r="A37" s="54">
        <v>23</v>
      </c>
      <c r="B37" s="55" t="s">
        <v>197</v>
      </c>
      <c r="C37" s="56">
        <v>2</v>
      </c>
      <c r="D37" s="152" t="s">
        <v>8</v>
      </c>
      <c r="E37" s="44"/>
      <c r="F37" s="143">
        <v>2</v>
      </c>
      <c r="G37" s="8">
        <v>27.55</v>
      </c>
      <c r="H37" s="154">
        <f t="shared" si="19"/>
        <v>55.1</v>
      </c>
      <c r="I37" s="11" t="s">
        <v>250</v>
      </c>
      <c r="J37" s="10"/>
      <c r="K37" s="143"/>
      <c r="L37" s="8"/>
      <c r="M37" s="8">
        <f t="shared" si="18"/>
        <v>0</v>
      </c>
      <c r="N37" s="11"/>
      <c r="O37" s="10"/>
      <c r="P37" s="143"/>
      <c r="Q37" s="8"/>
      <c r="R37" s="8">
        <f t="shared" si="16"/>
        <v>0</v>
      </c>
      <c r="S37" s="11"/>
      <c r="T37" s="10"/>
      <c r="U37" s="143">
        <v>4</v>
      </c>
      <c r="V37" s="8"/>
      <c r="W37" s="8">
        <f t="shared" si="2"/>
        <v>0</v>
      </c>
      <c r="X37" s="11"/>
      <c r="Y37" s="10"/>
      <c r="Z37" s="15"/>
      <c r="AA37" s="8"/>
      <c r="AB37" s="8">
        <f t="shared" si="3"/>
        <v>0</v>
      </c>
      <c r="AC37" s="11"/>
      <c r="AD37" s="10"/>
      <c r="AE37" s="15"/>
      <c r="AF37" s="8"/>
      <c r="AG37" s="8">
        <f t="shared" si="4"/>
        <v>0</v>
      </c>
      <c r="AH37" s="11"/>
      <c r="AI37" s="10"/>
      <c r="AJ37" s="8">
        <f t="shared" si="5"/>
        <v>27.55</v>
      </c>
      <c r="AK37" s="8">
        <f t="shared" si="6"/>
        <v>55.1</v>
      </c>
      <c r="AL37" s="12"/>
      <c r="AM37" s="1"/>
      <c r="AN37" s="8">
        <f t="shared" si="7"/>
        <v>27.55</v>
      </c>
      <c r="AO37" s="8">
        <f t="shared" si="8"/>
        <v>55.1</v>
      </c>
      <c r="AP37" s="13" t="str">
        <f t="shared" si="9"/>
        <v>ECOLIMP</v>
      </c>
      <c r="AQ37" s="1"/>
      <c r="AR37" s="14">
        <f t="shared" si="10"/>
        <v>27.55</v>
      </c>
      <c r="AS37" s="14" t="b">
        <f t="shared" si="11"/>
        <v>0</v>
      </c>
      <c r="AT37" s="14" t="b">
        <f t="shared" si="12"/>
        <v>0</v>
      </c>
      <c r="AU37" s="14" t="b">
        <f t="shared" si="13"/>
        <v>0</v>
      </c>
      <c r="AV37" s="14" t="b">
        <f t="shared" si="14"/>
        <v>0</v>
      </c>
      <c r="AW37" s="14" t="b">
        <f t="shared" si="15"/>
        <v>0</v>
      </c>
    </row>
    <row r="38" spans="1:49" ht="15.6" x14ac:dyDescent="0.3">
      <c r="A38" s="54">
        <v>24</v>
      </c>
      <c r="B38" s="55" t="s">
        <v>198</v>
      </c>
      <c r="C38" s="56">
        <v>4</v>
      </c>
      <c r="D38" s="152" t="s">
        <v>8</v>
      </c>
      <c r="E38" s="44"/>
      <c r="F38" s="143">
        <v>4</v>
      </c>
      <c r="G38" s="8">
        <v>29.99</v>
      </c>
      <c r="H38" s="154">
        <f t="shared" si="19"/>
        <v>119.96</v>
      </c>
      <c r="I38" s="11" t="s">
        <v>250</v>
      </c>
      <c r="J38" s="10"/>
      <c r="K38" s="143"/>
      <c r="L38" s="8"/>
      <c r="M38" s="8">
        <f t="shared" si="18"/>
        <v>0</v>
      </c>
      <c r="N38" s="11"/>
      <c r="O38" s="10"/>
      <c r="P38" s="143"/>
      <c r="Q38" s="8"/>
      <c r="R38" s="8">
        <f t="shared" si="16"/>
        <v>0</v>
      </c>
      <c r="S38" s="11"/>
      <c r="T38" s="10"/>
      <c r="U38" s="143">
        <v>4</v>
      </c>
      <c r="V38" s="8"/>
      <c r="W38" s="8">
        <f t="shared" si="2"/>
        <v>0</v>
      </c>
      <c r="X38" s="11"/>
      <c r="Y38" s="10"/>
      <c r="Z38" s="15"/>
      <c r="AA38" s="8"/>
      <c r="AB38" s="8">
        <f t="shared" si="3"/>
        <v>0</v>
      </c>
      <c r="AC38" s="11"/>
      <c r="AD38" s="10"/>
      <c r="AE38" s="15"/>
      <c r="AF38" s="8"/>
      <c r="AG38" s="8">
        <f t="shared" si="4"/>
        <v>0</v>
      </c>
      <c r="AH38" s="11"/>
      <c r="AI38" s="10"/>
      <c r="AJ38" s="8">
        <f t="shared" si="5"/>
        <v>29.99</v>
      </c>
      <c r="AK38" s="8">
        <f t="shared" si="6"/>
        <v>119.96</v>
      </c>
      <c r="AL38" s="12"/>
      <c r="AM38" s="1"/>
      <c r="AN38" s="8">
        <f t="shared" si="7"/>
        <v>29.99</v>
      </c>
      <c r="AO38" s="8">
        <f t="shared" si="8"/>
        <v>119.96</v>
      </c>
      <c r="AP38" s="13" t="str">
        <f t="shared" si="9"/>
        <v>ECOLIMP</v>
      </c>
      <c r="AQ38" s="1"/>
      <c r="AR38" s="14">
        <f t="shared" si="10"/>
        <v>29.99</v>
      </c>
      <c r="AS38" s="14" t="b">
        <f t="shared" si="11"/>
        <v>0</v>
      </c>
      <c r="AT38" s="14" t="b">
        <f t="shared" si="12"/>
        <v>0</v>
      </c>
      <c r="AU38" s="14" t="b">
        <f t="shared" si="13"/>
        <v>0</v>
      </c>
      <c r="AV38" s="14" t="b">
        <f t="shared" si="14"/>
        <v>0</v>
      </c>
      <c r="AW38" s="14" t="b">
        <f t="shared" si="15"/>
        <v>0</v>
      </c>
    </row>
    <row r="39" spans="1:49" ht="15.6" x14ac:dyDescent="0.3">
      <c r="A39" s="54">
        <v>25</v>
      </c>
      <c r="B39" s="55" t="s">
        <v>199</v>
      </c>
      <c r="C39" s="56">
        <v>1</v>
      </c>
      <c r="D39" s="152" t="s">
        <v>8</v>
      </c>
      <c r="E39" s="44"/>
      <c r="F39" s="143">
        <v>1</v>
      </c>
      <c r="G39" s="8">
        <v>131.44</v>
      </c>
      <c r="H39" s="154">
        <f t="shared" si="19"/>
        <v>131.44</v>
      </c>
      <c r="I39" s="11" t="s">
        <v>250</v>
      </c>
      <c r="J39" s="10"/>
      <c r="K39" s="143"/>
      <c r="L39" s="8"/>
      <c r="M39" s="8">
        <f t="shared" si="18"/>
        <v>0</v>
      </c>
      <c r="N39" s="11"/>
      <c r="O39" s="10"/>
      <c r="P39" s="143"/>
      <c r="Q39" s="8"/>
      <c r="R39" s="8">
        <f t="shared" si="16"/>
        <v>0</v>
      </c>
      <c r="S39" s="11"/>
      <c r="T39" s="10"/>
      <c r="U39" s="143">
        <v>4</v>
      </c>
      <c r="V39" s="8"/>
      <c r="W39" s="8">
        <f t="shared" si="2"/>
        <v>0</v>
      </c>
      <c r="X39" s="11"/>
      <c r="Y39" s="10"/>
      <c r="Z39" s="15"/>
      <c r="AA39" s="8"/>
      <c r="AB39" s="8">
        <f t="shared" si="3"/>
        <v>0</v>
      </c>
      <c r="AC39" s="11"/>
      <c r="AD39" s="10"/>
      <c r="AE39" s="15"/>
      <c r="AF39" s="8"/>
      <c r="AG39" s="8">
        <f t="shared" si="4"/>
        <v>0</v>
      </c>
      <c r="AH39" s="11"/>
      <c r="AI39" s="10"/>
      <c r="AJ39" s="8">
        <f t="shared" si="5"/>
        <v>131.44</v>
      </c>
      <c r="AK39" s="8">
        <f t="shared" si="6"/>
        <v>131.44</v>
      </c>
      <c r="AL39" s="12"/>
      <c r="AM39" s="1"/>
      <c r="AN39" s="8">
        <f t="shared" si="7"/>
        <v>131.44</v>
      </c>
      <c r="AO39" s="8">
        <f t="shared" si="8"/>
        <v>131.44</v>
      </c>
      <c r="AP39" s="13" t="str">
        <f t="shared" si="9"/>
        <v>ECOLIMP</v>
      </c>
      <c r="AQ39" s="1"/>
      <c r="AR39" s="14">
        <f t="shared" si="10"/>
        <v>131.44</v>
      </c>
      <c r="AS39" s="14" t="b">
        <f t="shared" si="11"/>
        <v>0</v>
      </c>
      <c r="AT39" s="14" t="b">
        <f t="shared" si="12"/>
        <v>0</v>
      </c>
      <c r="AU39" s="14" t="b">
        <f t="shared" si="13"/>
        <v>0</v>
      </c>
      <c r="AV39" s="14" t="b">
        <f t="shared" si="14"/>
        <v>0</v>
      </c>
      <c r="AW39" s="14" t="b">
        <f t="shared" si="15"/>
        <v>0</v>
      </c>
    </row>
    <row r="40" spans="1:49" ht="15.6" x14ac:dyDescent="0.3">
      <c r="A40" s="54">
        <v>26</v>
      </c>
      <c r="B40" s="55" t="s">
        <v>200</v>
      </c>
      <c r="C40" s="56">
        <v>3</v>
      </c>
      <c r="D40" s="152" t="s">
        <v>141</v>
      </c>
      <c r="E40" s="44"/>
      <c r="F40" s="143">
        <v>3</v>
      </c>
      <c r="G40" s="8">
        <v>69</v>
      </c>
      <c r="H40" s="8">
        <f t="shared" ref="H40:H46" si="20">F40*G40</f>
        <v>207</v>
      </c>
      <c r="I40" s="11" t="s">
        <v>250</v>
      </c>
      <c r="J40" s="10"/>
      <c r="K40" s="143"/>
      <c r="L40" s="8"/>
      <c r="M40" s="8">
        <f t="shared" si="18"/>
        <v>0</v>
      </c>
      <c r="N40" s="11"/>
      <c r="O40" s="10"/>
      <c r="P40" s="143"/>
      <c r="Q40" s="8"/>
      <c r="R40" s="8">
        <f t="shared" si="16"/>
        <v>0</v>
      </c>
      <c r="S40" s="11"/>
      <c r="T40" s="10"/>
      <c r="U40" s="143">
        <v>3</v>
      </c>
      <c r="V40" s="8">
        <f>3.15*25</f>
        <v>78.75</v>
      </c>
      <c r="W40" s="8">
        <f t="shared" si="2"/>
        <v>236.25</v>
      </c>
      <c r="X40" s="11"/>
      <c r="Y40" s="10"/>
      <c r="Z40" s="15"/>
      <c r="AA40" s="8"/>
      <c r="AB40" s="8">
        <f t="shared" si="3"/>
        <v>0</v>
      </c>
      <c r="AC40" s="11"/>
      <c r="AD40" s="10"/>
      <c r="AE40" s="15"/>
      <c r="AF40" s="8"/>
      <c r="AG40" s="8">
        <f t="shared" si="4"/>
        <v>0</v>
      </c>
      <c r="AH40" s="11"/>
      <c r="AI40" s="10"/>
      <c r="AJ40" s="8">
        <f t="shared" si="5"/>
        <v>69</v>
      </c>
      <c r="AK40" s="8">
        <f t="shared" si="6"/>
        <v>207</v>
      </c>
      <c r="AL40" s="12"/>
      <c r="AM40" s="1"/>
      <c r="AN40" s="8">
        <f t="shared" si="7"/>
        <v>69</v>
      </c>
      <c r="AO40" s="8">
        <f t="shared" si="8"/>
        <v>207</v>
      </c>
      <c r="AP40" s="13" t="str">
        <f t="shared" si="9"/>
        <v>ECOLIMP</v>
      </c>
      <c r="AQ40" s="1"/>
      <c r="AR40" s="14">
        <f t="shared" si="10"/>
        <v>69</v>
      </c>
      <c r="AS40" s="14" t="b">
        <f t="shared" si="11"/>
        <v>0</v>
      </c>
      <c r="AT40" s="14" t="b">
        <f t="shared" si="12"/>
        <v>0</v>
      </c>
      <c r="AU40" s="14">
        <f t="shared" si="13"/>
        <v>78.75</v>
      </c>
      <c r="AV40" s="14" t="b">
        <f t="shared" si="14"/>
        <v>0</v>
      </c>
      <c r="AW40" s="14" t="b">
        <f t="shared" si="15"/>
        <v>0</v>
      </c>
    </row>
    <row r="41" spans="1:49" ht="15.6" x14ac:dyDescent="0.3">
      <c r="A41" s="54">
        <v>27</v>
      </c>
      <c r="B41" s="55" t="s">
        <v>201</v>
      </c>
      <c r="C41" s="56">
        <v>10</v>
      </c>
      <c r="D41" s="152" t="s">
        <v>8</v>
      </c>
      <c r="E41" s="44"/>
      <c r="F41" s="143">
        <v>10</v>
      </c>
      <c r="G41" s="8"/>
      <c r="H41" s="8">
        <f t="shared" si="20"/>
        <v>0</v>
      </c>
      <c r="I41" s="11"/>
      <c r="J41" s="10"/>
      <c r="K41" s="143"/>
      <c r="L41" s="8"/>
      <c r="M41" s="8">
        <f t="shared" si="18"/>
        <v>0</v>
      </c>
      <c r="N41" s="11"/>
      <c r="O41" s="10"/>
      <c r="P41" s="143"/>
      <c r="Q41" s="8"/>
      <c r="R41" s="8">
        <f t="shared" si="16"/>
        <v>0</v>
      </c>
      <c r="S41" s="11"/>
      <c r="T41" s="10"/>
      <c r="U41" s="143">
        <v>10</v>
      </c>
      <c r="V41" s="8">
        <v>0.83</v>
      </c>
      <c r="W41" s="8">
        <f t="shared" si="2"/>
        <v>8.2999999999999989</v>
      </c>
      <c r="X41" s="11" t="s">
        <v>250</v>
      </c>
      <c r="Y41" s="10"/>
      <c r="Z41" s="15"/>
      <c r="AA41" s="8"/>
      <c r="AB41" s="8">
        <f t="shared" si="3"/>
        <v>0</v>
      </c>
      <c r="AC41" s="11"/>
      <c r="AD41" s="10"/>
      <c r="AE41" s="15"/>
      <c r="AF41" s="8"/>
      <c r="AG41" s="8">
        <f t="shared" si="4"/>
        <v>0</v>
      </c>
      <c r="AH41" s="11"/>
      <c r="AI41" s="10"/>
      <c r="AJ41" s="8">
        <f t="shared" si="5"/>
        <v>0.83</v>
      </c>
      <c r="AK41" s="8">
        <f t="shared" si="6"/>
        <v>8.2999999999999989</v>
      </c>
      <c r="AL41" s="12"/>
      <c r="AM41" s="1"/>
      <c r="AN41" s="8">
        <f t="shared" si="7"/>
        <v>0.83</v>
      </c>
      <c r="AO41" s="8">
        <f t="shared" si="8"/>
        <v>8.2999999999999989</v>
      </c>
      <c r="AP41" s="13" t="str">
        <f t="shared" si="9"/>
        <v>AMPLA</v>
      </c>
      <c r="AQ41" s="1"/>
      <c r="AR41" s="14" t="b">
        <f t="shared" si="10"/>
        <v>0</v>
      </c>
      <c r="AS41" s="14" t="b">
        <f t="shared" si="11"/>
        <v>0</v>
      </c>
      <c r="AT41" s="14" t="b">
        <f t="shared" si="12"/>
        <v>0</v>
      </c>
      <c r="AU41" s="14">
        <f t="shared" si="13"/>
        <v>0.83</v>
      </c>
      <c r="AV41" s="14" t="b">
        <f t="shared" si="14"/>
        <v>0</v>
      </c>
      <c r="AW41" s="14" t="b">
        <f t="shared" si="15"/>
        <v>0</v>
      </c>
    </row>
    <row r="42" spans="1:49" ht="15.6" x14ac:dyDescent="0.3">
      <c r="A42" s="54">
        <v>28</v>
      </c>
      <c r="B42" s="55" t="s">
        <v>202</v>
      </c>
      <c r="C42" s="56">
        <v>50</v>
      </c>
      <c r="D42" s="152" t="s">
        <v>8</v>
      </c>
      <c r="E42" s="44"/>
      <c r="F42" s="143">
        <v>50</v>
      </c>
      <c r="G42" s="8">
        <v>2</v>
      </c>
      <c r="H42" s="8">
        <f t="shared" si="20"/>
        <v>100</v>
      </c>
      <c r="I42" s="11"/>
      <c r="J42" s="10"/>
      <c r="K42" s="143"/>
      <c r="L42" s="8"/>
      <c r="M42" s="8">
        <f t="shared" si="18"/>
        <v>0</v>
      </c>
      <c r="N42" s="11"/>
      <c r="O42" s="10"/>
      <c r="P42" s="143"/>
      <c r="Q42" s="8"/>
      <c r="R42" s="8">
        <f t="shared" si="16"/>
        <v>0</v>
      </c>
      <c r="S42" s="11"/>
      <c r="T42" s="10"/>
      <c r="U42" s="143">
        <v>50</v>
      </c>
      <c r="V42" s="8">
        <v>0.63</v>
      </c>
      <c r="W42" s="8">
        <f t="shared" si="2"/>
        <v>31.5</v>
      </c>
      <c r="X42" s="11" t="s">
        <v>250</v>
      </c>
      <c r="Y42" s="10"/>
      <c r="Z42" s="15"/>
      <c r="AA42" s="8"/>
      <c r="AB42" s="8">
        <f t="shared" si="3"/>
        <v>0</v>
      </c>
      <c r="AC42" s="11"/>
      <c r="AD42" s="10"/>
      <c r="AE42" s="15"/>
      <c r="AF42" s="8"/>
      <c r="AG42" s="8">
        <f t="shared" si="4"/>
        <v>0</v>
      </c>
      <c r="AH42" s="11"/>
      <c r="AI42" s="10"/>
      <c r="AJ42" s="8">
        <f t="shared" si="5"/>
        <v>0.63</v>
      </c>
      <c r="AK42" s="8">
        <f t="shared" si="6"/>
        <v>31.5</v>
      </c>
      <c r="AL42" s="12"/>
      <c r="AM42" s="1"/>
      <c r="AN42" s="8">
        <f t="shared" si="7"/>
        <v>0.63</v>
      </c>
      <c r="AO42" s="8">
        <f t="shared" si="8"/>
        <v>31.5</v>
      </c>
      <c r="AP42" s="13" t="str">
        <f t="shared" si="9"/>
        <v>AMPLA</v>
      </c>
      <c r="AQ42" s="1"/>
      <c r="AR42" s="14">
        <f t="shared" si="10"/>
        <v>2</v>
      </c>
      <c r="AS42" s="14" t="b">
        <f t="shared" si="11"/>
        <v>0</v>
      </c>
      <c r="AT42" s="14" t="b">
        <f t="shared" si="12"/>
        <v>0</v>
      </c>
      <c r="AU42" s="14">
        <f t="shared" si="13"/>
        <v>0.63</v>
      </c>
      <c r="AV42" s="14" t="b">
        <f t="shared" si="14"/>
        <v>0</v>
      </c>
      <c r="AW42" s="14" t="b">
        <f t="shared" si="15"/>
        <v>0</v>
      </c>
    </row>
    <row r="43" spans="1:49" ht="15.6" x14ac:dyDescent="0.3">
      <c r="A43" s="54">
        <v>29</v>
      </c>
      <c r="B43" s="55" t="s">
        <v>203</v>
      </c>
      <c r="C43" s="56">
        <v>50</v>
      </c>
      <c r="D43" s="152" t="s">
        <v>8</v>
      </c>
      <c r="E43" s="44"/>
      <c r="F43" s="143">
        <v>50</v>
      </c>
      <c r="G43" s="8">
        <v>2</v>
      </c>
      <c r="H43" s="8">
        <f t="shared" si="20"/>
        <v>100</v>
      </c>
      <c r="I43" s="11"/>
      <c r="J43" s="10"/>
      <c r="K43" s="143"/>
      <c r="L43" s="8"/>
      <c r="M43" s="8">
        <f t="shared" si="18"/>
        <v>0</v>
      </c>
      <c r="N43" s="11"/>
      <c r="O43" s="10"/>
      <c r="P43" s="143"/>
      <c r="Q43" s="8"/>
      <c r="R43" s="8">
        <f t="shared" si="16"/>
        <v>0</v>
      </c>
      <c r="S43" s="11"/>
      <c r="T43" s="10"/>
      <c r="U43" s="143">
        <v>50</v>
      </c>
      <c r="V43" s="8">
        <v>0.63</v>
      </c>
      <c r="W43" s="8">
        <f t="shared" si="2"/>
        <v>31.5</v>
      </c>
      <c r="X43" s="11" t="s">
        <v>250</v>
      </c>
      <c r="Y43" s="10"/>
      <c r="Z43" s="15"/>
      <c r="AA43" s="8"/>
      <c r="AB43" s="8">
        <f t="shared" si="3"/>
        <v>0</v>
      </c>
      <c r="AC43" s="11"/>
      <c r="AD43" s="10"/>
      <c r="AE43" s="15"/>
      <c r="AF43" s="8"/>
      <c r="AG43" s="8">
        <f t="shared" si="4"/>
        <v>0</v>
      </c>
      <c r="AH43" s="11"/>
      <c r="AI43" s="10"/>
      <c r="AJ43" s="8">
        <f t="shared" si="5"/>
        <v>0.63</v>
      </c>
      <c r="AK43" s="8">
        <f t="shared" si="6"/>
        <v>31.5</v>
      </c>
      <c r="AL43" s="12"/>
      <c r="AM43" s="1"/>
      <c r="AN43" s="8">
        <f t="shared" si="7"/>
        <v>0.63</v>
      </c>
      <c r="AO43" s="8">
        <f t="shared" si="8"/>
        <v>31.5</v>
      </c>
      <c r="AP43" s="13" t="str">
        <f t="shared" si="9"/>
        <v>AMPLA</v>
      </c>
      <c r="AQ43" s="1"/>
      <c r="AR43" s="14">
        <f t="shared" si="10"/>
        <v>2</v>
      </c>
      <c r="AS43" s="14" t="b">
        <f t="shared" si="11"/>
        <v>0</v>
      </c>
      <c r="AT43" s="14" t="b">
        <f t="shared" si="12"/>
        <v>0</v>
      </c>
      <c r="AU43" s="14">
        <f t="shared" si="13"/>
        <v>0.63</v>
      </c>
      <c r="AV43" s="14" t="b">
        <f t="shared" si="14"/>
        <v>0</v>
      </c>
      <c r="AW43" s="14" t="b">
        <f t="shared" si="15"/>
        <v>0</v>
      </c>
    </row>
    <row r="44" spans="1:49" ht="15.6" x14ac:dyDescent="0.3">
      <c r="A44" s="54">
        <v>30</v>
      </c>
      <c r="B44" s="55" t="s">
        <v>204</v>
      </c>
      <c r="C44" s="56">
        <v>50</v>
      </c>
      <c r="D44" s="152" t="s">
        <v>8</v>
      </c>
      <c r="E44" s="44"/>
      <c r="F44" s="143">
        <v>50</v>
      </c>
      <c r="G44" s="8">
        <v>2</v>
      </c>
      <c r="H44" s="8">
        <f t="shared" si="20"/>
        <v>100</v>
      </c>
      <c r="I44" s="11"/>
      <c r="J44" s="10"/>
      <c r="K44" s="143"/>
      <c r="L44" s="8"/>
      <c r="M44" s="8">
        <f t="shared" si="18"/>
        <v>0</v>
      </c>
      <c r="N44" s="11"/>
      <c r="O44" s="10"/>
      <c r="P44" s="143"/>
      <c r="Q44" s="8"/>
      <c r="R44" s="8">
        <f t="shared" si="16"/>
        <v>0</v>
      </c>
      <c r="S44" s="11"/>
      <c r="T44" s="10"/>
      <c r="U44" s="143">
        <v>50</v>
      </c>
      <c r="V44" s="8">
        <v>0.63</v>
      </c>
      <c r="W44" s="8">
        <f t="shared" si="2"/>
        <v>31.5</v>
      </c>
      <c r="X44" s="11" t="s">
        <v>250</v>
      </c>
      <c r="Y44" s="10"/>
      <c r="Z44" s="15"/>
      <c r="AA44" s="8"/>
      <c r="AB44" s="8">
        <f t="shared" si="3"/>
        <v>0</v>
      </c>
      <c r="AC44" s="11"/>
      <c r="AD44" s="10"/>
      <c r="AE44" s="15"/>
      <c r="AF44" s="8"/>
      <c r="AG44" s="8">
        <f t="shared" si="4"/>
        <v>0</v>
      </c>
      <c r="AH44" s="11"/>
      <c r="AI44" s="10"/>
      <c r="AJ44" s="8">
        <f t="shared" si="5"/>
        <v>0.63</v>
      </c>
      <c r="AK44" s="8">
        <f t="shared" si="6"/>
        <v>31.5</v>
      </c>
      <c r="AL44" s="12"/>
      <c r="AM44" s="1"/>
      <c r="AN44" s="8">
        <f t="shared" si="7"/>
        <v>0.63</v>
      </c>
      <c r="AO44" s="8">
        <f t="shared" si="8"/>
        <v>31.5</v>
      </c>
      <c r="AP44" s="13" t="str">
        <f t="shared" si="9"/>
        <v>AMPLA</v>
      </c>
      <c r="AQ44" s="1"/>
      <c r="AR44" s="14">
        <f t="shared" si="10"/>
        <v>2</v>
      </c>
      <c r="AS44" s="14" t="b">
        <f t="shared" si="11"/>
        <v>0</v>
      </c>
      <c r="AT44" s="14" t="b">
        <f t="shared" si="12"/>
        <v>0</v>
      </c>
      <c r="AU44" s="14">
        <f t="shared" si="13"/>
        <v>0.63</v>
      </c>
      <c r="AV44" s="14" t="b">
        <f t="shared" si="14"/>
        <v>0</v>
      </c>
      <c r="AW44" s="14" t="b">
        <f t="shared" si="15"/>
        <v>0</v>
      </c>
    </row>
    <row r="45" spans="1:49" ht="15.6" x14ac:dyDescent="0.3">
      <c r="A45" s="54">
        <v>31</v>
      </c>
      <c r="B45" s="55" t="s">
        <v>245</v>
      </c>
      <c r="C45" s="56">
        <v>10</v>
      </c>
      <c r="D45" s="152" t="s">
        <v>8</v>
      </c>
      <c r="E45" s="44"/>
      <c r="F45" s="143">
        <v>10</v>
      </c>
      <c r="G45" s="8">
        <v>7.11</v>
      </c>
      <c r="H45" s="8">
        <f t="shared" si="20"/>
        <v>71.100000000000009</v>
      </c>
      <c r="I45" s="11"/>
      <c r="J45" s="10"/>
      <c r="K45" s="143"/>
      <c r="L45" s="8"/>
      <c r="M45" s="8">
        <f t="shared" si="18"/>
        <v>0</v>
      </c>
      <c r="N45" s="11"/>
      <c r="O45" s="10"/>
      <c r="P45" s="143"/>
      <c r="Q45" s="8"/>
      <c r="R45" s="8">
        <f t="shared" si="16"/>
        <v>0</v>
      </c>
      <c r="S45" s="11"/>
      <c r="T45" s="10"/>
      <c r="U45" s="143">
        <v>10</v>
      </c>
      <c r="V45" s="8">
        <v>1.79</v>
      </c>
      <c r="W45" s="8">
        <f t="shared" si="2"/>
        <v>17.899999999999999</v>
      </c>
      <c r="X45" s="11" t="s">
        <v>250</v>
      </c>
      <c r="Y45" s="10"/>
      <c r="Z45" s="15"/>
      <c r="AA45" s="8"/>
      <c r="AB45" s="8">
        <f t="shared" si="3"/>
        <v>0</v>
      </c>
      <c r="AC45" s="11"/>
      <c r="AD45" s="10"/>
      <c r="AE45" s="15"/>
      <c r="AF45" s="8"/>
      <c r="AG45" s="8">
        <f t="shared" si="4"/>
        <v>0</v>
      </c>
      <c r="AH45" s="11"/>
      <c r="AI45" s="10"/>
      <c r="AJ45" s="8">
        <f t="shared" si="5"/>
        <v>1.79</v>
      </c>
      <c r="AK45" s="8">
        <f t="shared" si="6"/>
        <v>17.899999999999999</v>
      </c>
      <c r="AL45" s="12"/>
      <c r="AM45" s="1"/>
      <c r="AN45" s="8">
        <f t="shared" si="7"/>
        <v>1.79</v>
      </c>
      <c r="AO45" s="8">
        <f t="shared" si="8"/>
        <v>17.899999999999999</v>
      </c>
      <c r="AP45" s="13" t="str">
        <f t="shared" si="9"/>
        <v>AMPLA</v>
      </c>
      <c r="AQ45" s="1"/>
      <c r="AR45" s="14">
        <f t="shared" si="10"/>
        <v>7.11</v>
      </c>
      <c r="AS45" s="14" t="b">
        <f t="shared" si="11"/>
        <v>0</v>
      </c>
      <c r="AT45" s="14" t="b">
        <f t="shared" si="12"/>
        <v>0</v>
      </c>
      <c r="AU45" s="14">
        <f t="shared" si="13"/>
        <v>1.79</v>
      </c>
      <c r="AV45" s="14" t="b">
        <f t="shared" si="14"/>
        <v>0</v>
      </c>
      <c r="AW45" s="14" t="b">
        <f t="shared" si="15"/>
        <v>0</v>
      </c>
    </row>
    <row r="46" spans="1:49" ht="15.6" x14ac:dyDescent="0.3">
      <c r="A46" s="54">
        <v>32</v>
      </c>
      <c r="B46" s="55" t="s">
        <v>206</v>
      </c>
      <c r="C46" s="56">
        <v>5</v>
      </c>
      <c r="D46" s="152" t="s">
        <v>8</v>
      </c>
      <c r="E46" s="145"/>
      <c r="F46" s="143">
        <v>5</v>
      </c>
      <c r="G46" s="8">
        <v>23.11</v>
      </c>
      <c r="H46" s="8">
        <f t="shared" si="20"/>
        <v>115.55</v>
      </c>
      <c r="I46" s="11"/>
      <c r="J46" s="10"/>
      <c r="K46" s="143"/>
      <c r="L46" s="8"/>
      <c r="M46" s="8">
        <f t="shared" si="18"/>
        <v>0</v>
      </c>
      <c r="N46" s="11"/>
      <c r="O46" s="10"/>
      <c r="P46" s="143"/>
      <c r="Q46" s="8"/>
      <c r="R46" s="8">
        <f t="shared" si="16"/>
        <v>0</v>
      </c>
      <c r="S46" s="11"/>
      <c r="T46" s="10"/>
      <c r="U46" s="143">
        <v>5</v>
      </c>
      <c r="V46" s="8">
        <v>4.49</v>
      </c>
      <c r="W46" s="8">
        <f t="shared" si="2"/>
        <v>22.450000000000003</v>
      </c>
      <c r="X46" s="11" t="s">
        <v>250</v>
      </c>
      <c r="Y46" s="10"/>
      <c r="Z46" s="15"/>
      <c r="AA46" s="8"/>
      <c r="AB46" s="8">
        <f t="shared" si="3"/>
        <v>0</v>
      </c>
      <c r="AC46" s="11"/>
      <c r="AD46" s="10"/>
      <c r="AE46" s="15"/>
      <c r="AF46" s="8"/>
      <c r="AG46" s="8">
        <f t="shared" si="4"/>
        <v>0</v>
      </c>
      <c r="AH46" s="11"/>
      <c r="AI46" s="10"/>
      <c r="AJ46" s="8">
        <f t="shared" si="5"/>
        <v>4.49</v>
      </c>
      <c r="AK46" s="8">
        <f t="shared" si="6"/>
        <v>22.450000000000003</v>
      </c>
      <c r="AL46" s="12"/>
      <c r="AM46" s="1"/>
      <c r="AN46" s="8">
        <f t="shared" si="7"/>
        <v>4.49</v>
      </c>
      <c r="AO46" s="8">
        <f t="shared" si="8"/>
        <v>22.450000000000003</v>
      </c>
      <c r="AP46" s="13" t="str">
        <f t="shared" si="9"/>
        <v>AMPLA</v>
      </c>
      <c r="AQ46" s="1"/>
      <c r="AR46" s="14">
        <f t="shared" si="10"/>
        <v>23.11</v>
      </c>
      <c r="AS46" s="14" t="b">
        <f t="shared" si="11"/>
        <v>0</v>
      </c>
      <c r="AT46" s="14" t="b">
        <f t="shared" si="12"/>
        <v>0</v>
      </c>
      <c r="AU46" s="14">
        <f t="shared" si="13"/>
        <v>4.49</v>
      </c>
      <c r="AV46" s="14" t="b">
        <f t="shared" si="14"/>
        <v>0</v>
      </c>
      <c r="AW46" s="14" t="b">
        <f t="shared" si="15"/>
        <v>0</v>
      </c>
    </row>
    <row r="47" spans="1:49" ht="15.6" x14ac:dyDescent="0.3">
      <c r="A47" s="54">
        <v>33</v>
      </c>
      <c r="B47" s="175" t="s">
        <v>231</v>
      </c>
      <c r="C47" s="56">
        <v>10</v>
      </c>
      <c r="D47" s="152" t="s">
        <v>8</v>
      </c>
      <c r="E47" s="145"/>
      <c r="F47" s="143">
        <v>10</v>
      </c>
      <c r="G47" s="8"/>
      <c r="H47" s="8">
        <f t="shared" ref="H47:H78" si="21">F47*G47</f>
        <v>0</v>
      </c>
      <c r="I47" s="11"/>
      <c r="J47" s="10"/>
      <c r="K47" s="143"/>
      <c r="L47" s="8"/>
      <c r="M47" s="8">
        <f t="shared" ref="M47:M78" si="22">K47*L47</f>
        <v>0</v>
      </c>
      <c r="N47" s="11"/>
      <c r="O47" s="10"/>
      <c r="P47" s="143"/>
      <c r="Q47" s="8"/>
      <c r="R47" s="8">
        <f t="shared" si="16"/>
        <v>0</v>
      </c>
      <c r="S47" s="11"/>
      <c r="T47" s="10"/>
      <c r="U47" s="143">
        <v>10</v>
      </c>
      <c r="V47" s="8">
        <v>1.39</v>
      </c>
      <c r="W47" s="8">
        <f t="shared" ref="W47:W78" si="23">U47*V47</f>
        <v>13.899999999999999</v>
      </c>
      <c r="X47" s="11" t="s">
        <v>250</v>
      </c>
      <c r="Y47" s="10"/>
      <c r="Z47" s="15"/>
      <c r="AA47" s="8"/>
      <c r="AB47" s="8">
        <f t="shared" ref="AB47:AB78" si="24">Z47*AA47</f>
        <v>0</v>
      </c>
      <c r="AC47" s="11"/>
      <c r="AD47" s="10"/>
      <c r="AE47" s="15"/>
      <c r="AF47" s="8"/>
      <c r="AG47" s="8">
        <f t="shared" ref="AG47:AG78" si="25">AE47*AF47</f>
        <v>0</v>
      </c>
      <c r="AH47" s="11"/>
      <c r="AI47" s="10"/>
      <c r="AJ47" s="8">
        <f t="shared" ref="AJ47:AJ78" si="26">MIN(AR47:AW47)</f>
        <v>1.39</v>
      </c>
      <c r="AK47" s="8">
        <f t="shared" ref="AK47:AK78" si="27">AJ47*C47</f>
        <v>13.899999999999999</v>
      </c>
      <c r="AL47" s="12"/>
      <c r="AM47" s="1"/>
      <c r="AN47" s="8">
        <f t="shared" ref="AN47:AN78" si="28">(I47&lt;&gt;"")*G47+(N47&lt;&gt;"")*L47+(S47&lt;&gt;"")*Q47+(X47&lt;&gt;"")*V47+(AC47&lt;&gt;"")*AA47+(AH47&lt;&gt;"")*AF47</f>
        <v>1.39</v>
      </c>
      <c r="AO47" s="8">
        <f t="shared" ref="AO47:AO78" si="29">AN47*C47</f>
        <v>13.899999999999999</v>
      </c>
      <c r="AP47" s="13" t="str">
        <f t="shared" ref="AP47:AP78" si="30">IFERROR(INDEX($F$13:$AI$114,1,MATCH("X",F47:AI47,0)-3),"")</f>
        <v>AMPLA</v>
      </c>
      <c r="AQ47" s="1"/>
      <c r="AR47" s="14" t="b">
        <f t="shared" ref="AR47:AR78" si="31">IF(G47&gt;0,G47)</f>
        <v>0</v>
      </c>
      <c r="AS47" s="14" t="b">
        <f t="shared" ref="AS47:AS78" si="32">IF(L47&gt;0,L47)</f>
        <v>0</v>
      </c>
      <c r="AT47" s="14" t="b">
        <f t="shared" ref="AT47:AT78" si="33">IF(Q47&gt;0,Q47)</f>
        <v>0</v>
      </c>
      <c r="AU47" s="14">
        <f t="shared" ref="AU47:AU78" si="34">IF(V47&gt;0,V47)</f>
        <v>1.39</v>
      </c>
      <c r="AV47" s="14" t="b">
        <f t="shared" ref="AV47:AV78" si="35">IF(AA47&gt;0,AA47)</f>
        <v>0</v>
      </c>
      <c r="AW47" s="14" t="b">
        <f t="shared" ref="AW47:AW78" si="36">IF(AF47&gt;0,AF47)</f>
        <v>0</v>
      </c>
    </row>
    <row r="48" spans="1:49" ht="15.6" x14ac:dyDescent="0.3">
      <c r="A48" s="54">
        <v>34</v>
      </c>
      <c r="B48" s="55" t="s">
        <v>208</v>
      </c>
      <c r="C48" s="56">
        <v>10</v>
      </c>
      <c r="D48" s="152" t="s">
        <v>8</v>
      </c>
      <c r="E48" s="145"/>
      <c r="F48" s="143">
        <v>10</v>
      </c>
      <c r="G48" s="8">
        <v>12.5</v>
      </c>
      <c r="H48" s="8">
        <f t="shared" si="21"/>
        <v>125</v>
      </c>
      <c r="I48" s="11"/>
      <c r="J48" s="10"/>
      <c r="K48" s="143"/>
      <c r="L48" s="8"/>
      <c r="M48" s="8">
        <f t="shared" si="22"/>
        <v>0</v>
      </c>
      <c r="N48" s="11"/>
      <c r="O48" s="10"/>
      <c r="P48" s="143"/>
      <c r="Q48" s="8"/>
      <c r="R48" s="8">
        <f t="shared" ref="R48:R79" si="37">P48*Q48</f>
        <v>0</v>
      </c>
      <c r="S48" s="11"/>
      <c r="T48" s="10"/>
      <c r="U48" s="143">
        <v>10</v>
      </c>
      <c r="V48" s="8">
        <v>9.85</v>
      </c>
      <c r="W48" s="8">
        <f t="shared" si="23"/>
        <v>98.5</v>
      </c>
      <c r="X48" s="11" t="s">
        <v>250</v>
      </c>
      <c r="Y48" s="10"/>
      <c r="Z48" s="15"/>
      <c r="AA48" s="8"/>
      <c r="AB48" s="8">
        <f t="shared" si="24"/>
        <v>0</v>
      </c>
      <c r="AC48" s="11"/>
      <c r="AD48" s="10"/>
      <c r="AE48" s="15"/>
      <c r="AF48" s="8"/>
      <c r="AG48" s="8">
        <f t="shared" si="25"/>
        <v>0</v>
      </c>
      <c r="AH48" s="11"/>
      <c r="AI48" s="10"/>
      <c r="AJ48" s="8">
        <f t="shared" si="26"/>
        <v>9.85</v>
      </c>
      <c r="AK48" s="8">
        <f t="shared" si="27"/>
        <v>98.5</v>
      </c>
      <c r="AL48" s="12"/>
      <c r="AM48" s="1"/>
      <c r="AN48" s="8">
        <f t="shared" si="28"/>
        <v>9.85</v>
      </c>
      <c r="AO48" s="8">
        <f t="shared" si="29"/>
        <v>98.5</v>
      </c>
      <c r="AP48" s="13" t="str">
        <f t="shared" si="30"/>
        <v>AMPLA</v>
      </c>
      <c r="AQ48" s="1"/>
      <c r="AR48" s="14">
        <f t="shared" si="31"/>
        <v>12.5</v>
      </c>
      <c r="AS48" s="14" t="b">
        <f t="shared" si="32"/>
        <v>0</v>
      </c>
      <c r="AT48" s="14" t="b">
        <f t="shared" si="33"/>
        <v>0</v>
      </c>
      <c r="AU48" s="14">
        <f t="shared" si="34"/>
        <v>9.85</v>
      </c>
      <c r="AV48" s="14" t="b">
        <f t="shared" si="35"/>
        <v>0</v>
      </c>
      <c r="AW48" s="14" t="b">
        <f t="shared" si="36"/>
        <v>0</v>
      </c>
    </row>
    <row r="49" spans="1:49" ht="15.6" x14ac:dyDescent="0.3">
      <c r="A49" s="54">
        <v>35</v>
      </c>
      <c r="B49" s="55" t="s">
        <v>209</v>
      </c>
      <c r="C49" s="56">
        <v>10</v>
      </c>
      <c r="D49" s="152" t="s">
        <v>8</v>
      </c>
      <c r="E49" s="145"/>
      <c r="F49" s="143">
        <v>10</v>
      </c>
      <c r="G49" s="8">
        <v>4.5</v>
      </c>
      <c r="H49" s="8">
        <f t="shared" si="21"/>
        <v>45</v>
      </c>
      <c r="I49" s="11"/>
      <c r="J49" s="10"/>
      <c r="K49" s="143"/>
      <c r="L49" s="8"/>
      <c r="M49" s="8">
        <f t="shared" si="22"/>
        <v>0</v>
      </c>
      <c r="N49" s="11"/>
      <c r="O49" s="10"/>
      <c r="P49" s="143"/>
      <c r="Q49" s="8"/>
      <c r="R49" s="8">
        <f t="shared" si="37"/>
        <v>0</v>
      </c>
      <c r="S49" s="11"/>
      <c r="T49" s="10"/>
      <c r="U49" s="143">
        <v>10</v>
      </c>
      <c r="V49" s="8">
        <v>4.33</v>
      </c>
      <c r="W49" s="8">
        <f t="shared" si="23"/>
        <v>43.3</v>
      </c>
      <c r="X49" s="11" t="s">
        <v>250</v>
      </c>
      <c r="Y49" s="10"/>
      <c r="Z49" s="15"/>
      <c r="AA49" s="8"/>
      <c r="AB49" s="8">
        <f t="shared" si="24"/>
        <v>0</v>
      </c>
      <c r="AC49" s="11"/>
      <c r="AD49" s="10"/>
      <c r="AE49" s="15"/>
      <c r="AF49" s="8"/>
      <c r="AG49" s="8">
        <f t="shared" si="25"/>
        <v>0</v>
      </c>
      <c r="AH49" s="11"/>
      <c r="AI49" s="10"/>
      <c r="AJ49" s="8">
        <f t="shared" si="26"/>
        <v>4.33</v>
      </c>
      <c r="AK49" s="8">
        <f t="shared" si="27"/>
        <v>43.3</v>
      </c>
      <c r="AL49" s="12"/>
      <c r="AM49" s="1"/>
      <c r="AN49" s="8">
        <f t="shared" si="28"/>
        <v>4.33</v>
      </c>
      <c r="AO49" s="8">
        <f t="shared" si="29"/>
        <v>43.3</v>
      </c>
      <c r="AP49" s="13" t="str">
        <f t="shared" si="30"/>
        <v>AMPLA</v>
      </c>
      <c r="AQ49" s="1"/>
      <c r="AR49" s="14">
        <f t="shared" si="31"/>
        <v>4.5</v>
      </c>
      <c r="AS49" s="14" t="b">
        <f t="shared" si="32"/>
        <v>0</v>
      </c>
      <c r="AT49" s="14" t="b">
        <f t="shared" si="33"/>
        <v>0</v>
      </c>
      <c r="AU49" s="14">
        <f t="shared" si="34"/>
        <v>4.33</v>
      </c>
      <c r="AV49" s="14" t="b">
        <f t="shared" si="35"/>
        <v>0</v>
      </c>
      <c r="AW49" s="14" t="b">
        <f t="shared" si="36"/>
        <v>0</v>
      </c>
    </row>
    <row r="50" spans="1:49" ht="15.6" x14ac:dyDescent="0.3">
      <c r="A50" s="54">
        <v>36</v>
      </c>
      <c r="B50" s="55" t="s">
        <v>210</v>
      </c>
      <c r="C50" s="56">
        <v>10</v>
      </c>
      <c r="D50" s="152" t="s">
        <v>8</v>
      </c>
      <c r="E50" s="145"/>
      <c r="F50" s="143">
        <v>10</v>
      </c>
      <c r="G50" s="8">
        <v>5.5</v>
      </c>
      <c r="H50" s="8">
        <f t="shared" si="21"/>
        <v>55</v>
      </c>
      <c r="I50" s="11"/>
      <c r="J50" s="10"/>
      <c r="K50" s="143"/>
      <c r="L50" s="8"/>
      <c r="M50" s="8">
        <f t="shared" si="22"/>
        <v>0</v>
      </c>
      <c r="N50" s="11"/>
      <c r="O50" s="10"/>
      <c r="P50" s="143"/>
      <c r="Q50" s="8"/>
      <c r="R50" s="8">
        <f t="shared" si="37"/>
        <v>0</v>
      </c>
      <c r="S50" s="11"/>
      <c r="T50" s="10"/>
      <c r="U50" s="143">
        <v>10</v>
      </c>
      <c r="V50" s="8">
        <v>4.33</v>
      </c>
      <c r="W50" s="8">
        <f t="shared" si="23"/>
        <v>43.3</v>
      </c>
      <c r="X50" s="11" t="s">
        <v>250</v>
      </c>
      <c r="Y50" s="10"/>
      <c r="Z50" s="15"/>
      <c r="AA50" s="8"/>
      <c r="AB50" s="8">
        <f t="shared" si="24"/>
        <v>0</v>
      </c>
      <c r="AC50" s="11"/>
      <c r="AD50" s="10"/>
      <c r="AE50" s="15"/>
      <c r="AF50" s="8"/>
      <c r="AG50" s="8">
        <f t="shared" si="25"/>
        <v>0</v>
      </c>
      <c r="AH50" s="11"/>
      <c r="AI50" s="10"/>
      <c r="AJ50" s="8">
        <f t="shared" si="26"/>
        <v>4.33</v>
      </c>
      <c r="AK50" s="8">
        <f t="shared" si="27"/>
        <v>43.3</v>
      </c>
      <c r="AL50" s="12"/>
      <c r="AM50" s="1"/>
      <c r="AN50" s="8">
        <f t="shared" si="28"/>
        <v>4.33</v>
      </c>
      <c r="AO50" s="8">
        <f t="shared" si="29"/>
        <v>43.3</v>
      </c>
      <c r="AP50" s="13" t="str">
        <f t="shared" si="30"/>
        <v>AMPLA</v>
      </c>
      <c r="AQ50" s="1"/>
      <c r="AR50" s="14">
        <f t="shared" si="31"/>
        <v>5.5</v>
      </c>
      <c r="AS50" s="14" t="b">
        <f t="shared" si="32"/>
        <v>0</v>
      </c>
      <c r="AT50" s="14" t="b">
        <f t="shared" si="33"/>
        <v>0</v>
      </c>
      <c r="AU50" s="14">
        <f t="shared" si="34"/>
        <v>4.33</v>
      </c>
      <c r="AV50" s="14" t="b">
        <f t="shared" si="35"/>
        <v>0</v>
      </c>
      <c r="AW50" s="14" t="b">
        <f t="shared" si="36"/>
        <v>0</v>
      </c>
    </row>
    <row r="51" spans="1:49" ht="15.6" x14ac:dyDescent="0.3">
      <c r="A51" s="54">
        <v>37</v>
      </c>
      <c r="B51" s="55" t="s">
        <v>211</v>
      </c>
      <c r="C51" s="56">
        <v>10</v>
      </c>
      <c r="D51" s="152" t="s">
        <v>8</v>
      </c>
      <c r="E51" s="145"/>
      <c r="F51" s="143">
        <v>10</v>
      </c>
      <c r="G51" s="8"/>
      <c r="H51" s="8">
        <f t="shared" si="21"/>
        <v>0</v>
      </c>
      <c r="I51" s="11"/>
      <c r="J51" s="10"/>
      <c r="K51" s="143"/>
      <c r="L51" s="8"/>
      <c r="M51" s="8">
        <f t="shared" si="22"/>
        <v>0</v>
      </c>
      <c r="N51" s="11"/>
      <c r="O51" s="10"/>
      <c r="P51" s="143"/>
      <c r="Q51" s="8"/>
      <c r="R51" s="8">
        <f t="shared" si="37"/>
        <v>0</v>
      </c>
      <c r="S51" s="11"/>
      <c r="T51" s="10"/>
      <c r="U51" s="143">
        <v>10</v>
      </c>
      <c r="V51" s="8"/>
      <c r="W51" s="8">
        <f t="shared" si="23"/>
        <v>0</v>
      </c>
      <c r="X51" s="11"/>
      <c r="Y51" s="10"/>
      <c r="Z51" s="15"/>
      <c r="AA51" s="8"/>
      <c r="AB51" s="8">
        <f t="shared" si="24"/>
        <v>0</v>
      </c>
      <c r="AC51" s="11"/>
      <c r="AD51" s="10"/>
      <c r="AE51" s="15"/>
      <c r="AF51" s="8"/>
      <c r="AG51" s="8">
        <f t="shared" si="25"/>
        <v>0</v>
      </c>
      <c r="AH51" s="11"/>
      <c r="AI51" s="10"/>
      <c r="AJ51" s="8">
        <f t="shared" si="26"/>
        <v>0</v>
      </c>
      <c r="AK51" s="8">
        <f t="shared" si="27"/>
        <v>0</v>
      </c>
      <c r="AL51" s="12"/>
      <c r="AM51" s="1"/>
      <c r="AN51" s="8">
        <f t="shared" si="28"/>
        <v>0</v>
      </c>
      <c r="AO51" s="8">
        <f t="shared" si="29"/>
        <v>0</v>
      </c>
      <c r="AP51" s="13" t="str">
        <f t="shared" si="30"/>
        <v/>
      </c>
      <c r="AQ51" s="1"/>
      <c r="AR51" s="14" t="b">
        <f t="shared" si="31"/>
        <v>0</v>
      </c>
      <c r="AS51" s="14" t="b">
        <f t="shared" si="32"/>
        <v>0</v>
      </c>
      <c r="AT51" s="14" t="b">
        <f t="shared" si="33"/>
        <v>0</v>
      </c>
      <c r="AU51" s="14" t="b">
        <f t="shared" si="34"/>
        <v>0</v>
      </c>
      <c r="AV51" s="14" t="b">
        <f t="shared" si="35"/>
        <v>0</v>
      </c>
      <c r="AW51" s="14" t="b">
        <f t="shared" si="36"/>
        <v>0</v>
      </c>
    </row>
    <row r="52" spans="1:49" ht="15.6" x14ac:dyDescent="0.3">
      <c r="A52" s="54">
        <v>38</v>
      </c>
      <c r="B52" s="55" t="s">
        <v>212</v>
      </c>
      <c r="C52" s="56">
        <v>5</v>
      </c>
      <c r="D52" s="152" t="s">
        <v>8</v>
      </c>
      <c r="E52" s="145"/>
      <c r="F52" s="143">
        <v>5</v>
      </c>
      <c r="G52" s="8"/>
      <c r="H52" s="8">
        <f t="shared" si="21"/>
        <v>0</v>
      </c>
      <c r="I52" s="11"/>
      <c r="J52" s="10"/>
      <c r="K52" s="143"/>
      <c r="L52" s="8"/>
      <c r="M52" s="8">
        <f t="shared" si="22"/>
        <v>0</v>
      </c>
      <c r="N52" s="11"/>
      <c r="O52" s="10"/>
      <c r="P52" s="143"/>
      <c r="Q52" s="8"/>
      <c r="R52" s="8">
        <f t="shared" si="37"/>
        <v>0</v>
      </c>
      <c r="S52" s="11"/>
      <c r="T52" s="10"/>
      <c r="U52" s="143">
        <v>5</v>
      </c>
      <c r="V52" s="8">
        <v>4.3499999999999996</v>
      </c>
      <c r="W52" s="8">
        <f t="shared" si="23"/>
        <v>21.75</v>
      </c>
      <c r="X52" s="11" t="s">
        <v>250</v>
      </c>
      <c r="Y52" s="10"/>
      <c r="Z52" s="15"/>
      <c r="AA52" s="8"/>
      <c r="AB52" s="8">
        <f t="shared" si="24"/>
        <v>0</v>
      </c>
      <c r="AC52" s="11"/>
      <c r="AD52" s="10"/>
      <c r="AE52" s="15"/>
      <c r="AF52" s="8"/>
      <c r="AG52" s="8">
        <f t="shared" si="25"/>
        <v>0</v>
      </c>
      <c r="AH52" s="11"/>
      <c r="AI52" s="10"/>
      <c r="AJ52" s="8">
        <f t="shared" si="26"/>
        <v>4.3499999999999996</v>
      </c>
      <c r="AK52" s="8">
        <f t="shared" si="27"/>
        <v>21.75</v>
      </c>
      <c r="AL52" s="12"/>
      <c r="AM52" s="1"/>
      <c r="AN52" s="8">
        <f t="shared" si="28"/>
        <v>4.3499999999999996</v>
      </c>
      <c r="AO52" s="8">
        <f t="shared" si="29"/>
        <v>21.75</v>
      </c>
      <c r="AP52" s="13" t="str">
        <f t="shared" si="30"/>
        <v>AMPLA</v>
      </c>
      <c r="AQ52" s="1"/>
      <c r="AR52" s="14" t="b">
        <f t="shared" si="31"/>
        <v>0</v>
      </c>
      <c r="AS52" s="14" t="b">
        <f t="shared" si="32"/>
        <v>0</v>
      </c>
      <c r="AT52" s="14" t="b">
        <f t="shared" si="33"/>
        <v>0</v>
      </c>
      <c r="AU52" s="14">
        <f t="shared" si="34"/>
        <v>4.3499999999999996</v>
      </c>
      <c r="AV52" s="14" t="b">
        <f t="shared" si="35"/>
        <v>0</v>
      </c>
      <c r="AW52" s="14" t="b">
        <f t="shared" si="36"/>
        <v>0</v>
      </c>
    </row>
    <row r="53" spans="1:49" ht="15.6" x14ac:dyDescent="0.3">
      <c r="A53" s="54">
        <v>39</v>
      </c>
      <c r="B53" s="55" t="s">
        <v>213</v>
      </c>
      <c r="C53" s="56">
        <v>2</v>
      </c>
      <c r="D53" s="152" t="s">
        <v>8</v>
      </c>
      <c r="E53" s="145"/>
      <c r="F53" s="143">
        <v>2</v>
      </c>
      <c r="G53" s="8">
        <v>9.8699999999999992</v>
      </c>
      <c r="H53" s="8">
        <f t="shared" si="21"/>
        <v>19.739999999999998</v>
      </c>
      <c r="I53" s="11"/>
      <c r="J53" s="10"/>
      <c r="K53" s="143"/>
      <c r="L53" s="8"/>
      <c r="M53" s="8">
        <f t="shared" si="22"/>
        <v>0</v>
      </c>
      <c r="N53" s="11"/>
      <c r="O53" s="10"/>
      <c r="P53" s="143"/>
      <c r="Q53" s="8"/>
      <c r="R53" s="8">
        <f t="shared" si="37"/>
        <v>0</v>
      </c>
      <c r="S53" s="11"/>
      <c r="T53" s="10"/>
      <c r="U53" s="143">
        <v>2</v>
      </c>
      <c r="V53" s="8">
        <v>2.34</v>
      </c>
      <c r="W53" s="8">
        <f t="shared" si="23"/>
        <v>4.68</v>
      </c>
      <c r="X53" s="11" t="s">
        <v>250</v>
      </c>
      <c r="Y53" s="10"/>
      <c r="Z53" s="15"/>
      <c r="AA53" s="8"/>
      <c r="AB53" s="8">
        <f t="shared" si="24"/>
        <v>0</v>
      </c>
      <c r="AC53" s="11"/>
      <c r="AD53" s="10"/>
      <c r="AE53" s="15"/>
      <c r="AF53" s="8"/>
      <c r="AG53" s="8">
        <f t="shared" si="25"/>
        <v>0</v>
      </c>
      <c r="AH53" s="11"/>
      <c r="AI53" s="10"/>
      <c r="AJ53" s="8">
        <f t="shared" si="26"/>
        <v>2.34</v>
      </c>
      <c r="AK53" s="8">
        <f t="shared" si="27"/>
        <v>4.68</v>
      </c>
      <c r="AL53" s="12"/>
      <c r="AM53" s="1"/>
      <c r="AN53" s="8">
        <f t="shared" si="28"/>
        <v>2.34</v>
      </c>
      <c r="AO53" s="8">
        <f t="shared" si="29"/>
        <v>4.68</v>
      </c>
      <c r="AP53" s="13" t="str">
        <f t="shared" si="30"/>
        <v>AMPLA</v>
      </c>
      <c r="AQ53" s="1"/>
      <c r="AR53" s="14">
        <f t="shared" si="31"/>
        <v>9.8699999999999992</v>
      </c>
      <c r="AS53" s="14" t="b">
        <f t="shared" si="32"/>
        <v>0</v>
      </c>
      <c r="AT53" s="14" t="b">
        <f t="shared" si="33"/>
        <v>0</v>
      </c>
      <c r="AU53" s="14">
        <f t="shared" si="34"/>
        <v>2.34</v>
      </c>
      <c r="AV53" s="14" t="b">
        <f t="shared" si="35"/>
        <v>0</v>
      </c>
      <c r="AW53" s="14" t="b">
        <f t="shared" si="36"/>
        <v>0</v>
      </c>
    </row>
    <row r="54" spans="1:49" ht="15.6" x14ac:dyDescent="0.3">
      <c r="A54" s="54">
        <v>40</v>
      </c>
      <c r="B54" s="55" t="s">
        <v>214</v>
      </c>
      <c r="C54" s="56">
        <v>10</v>
      </c>
      <c r="D54" s="152" t="s">
        <v>8</v>
      </c>
      <c r="E54" s="145"/>
      <c r="F54" s="143">
        <v>10</v>
      </c>
      <c r="G54" s="8">
        <v>13.77</v>
      </c>
      <c r="H54" s="8">
        <f t="shared" si="21"/>
        <v>137.69999999999999</v>
      </c>
      <c r="I54" s="11" t="s">
        <v>250</v>
      </c>
      <c r="J54" s="10"/>
      <c r="K54" s="143"/>
      <c r="L54" s="8"/>
      <c r="M54" s="8">
        <f t="shared" si="22"/>
        <v>0</v>
      </c>
      <c r="N54" s="11"/>
      <c r="O54" s="10"/>
      <c r="P54" s="143"/>
      <c r="Q54" s="8"/>
      <c r="R54" s="8">
        <f t="shared" si="37"/>
        <v>0</v>
      </c>
      <c r="S54" s="11"/>
      <c r="T54" s="10"/>
      <c r="U54" s="143">
        <v>10</v>
      </c>
      <c r="V54" s="8"/>
      <c r="W54" s="8">
        <f t="shared" si="23"/>
        <v>0</v>
      </c>
      <c r="X54" s="11"/>
      <c r="Y54" s="10"/>
      <c r="Z54" s="15"/>
      <c r="AA54" s="8"/>
      <c r="AB54" s="8">
        <f t="shared" si="24"/>
        <v>0</v>
      </c>
      <c r="AC54" s="11"/>
      <c r="AD54" s="10"/>
      <c r="AE54" s="15"/>
      <c r="AF54" s="8"/>
      <c r="AG54" s="8">
        <f t="shared" si="25"/>
        <v>0</v>
      </c>
      <c r="AH54" s="11"/>
      <c r="AI54" s="10"/>
      <c r="AJ54" s="8">
        <f t="shared" si="26"/>
        <v>13.77</v>
      </c>
      <c r="AK54" s="8">
        <f t="shared" si="27"/>
        <v>137.69999999999999</v>
      </c>
      <c r="AL54" s="12"/>
      <c r="AM54" s="1"/>
      <c r="AN54" s="8">
        <f t="shared" si="28"/>
        <v>13.77</v>
      </c>
      <c r="AO54" s="8">
        <f t="shared" si="29"/>
        <v>137.69999999999999</v>
      </c>
      <c r="AP54" s="13" t="str">
        <f t="shared" si="30"/>
        <v>ECOLIMP</v>
      </c>
      <c r="AQ54" s="1"/>
      <c r="AR54" s="14">
        <f t="shared" si="31"/>
        <v>13.77</v>
      </c>
      <c r="AS54" s="14" t="b">
        <f t="shared" si="32"/>
        <v>0</v>
      </c>
      <c r="AT54" s="14" t="b">
        <f t="shared" si="33"/>
        <v>0</v>
      </c>
      <c r="AU54" s="14" t="b">
        <f t="shared" si="34"/>
        <v>0</v>
      </c>
      <c r="AV54" s="14" t="b">
        <f t="shared" si="35"/>
        <v>0</v>
      </c>
      <c r="AW54" s="14" t="b">
        <f t="shared" si="36"/>
        <v>0</v>
      </c>
    </row>
    <row r="55" spans="1:49" ht="19.2" customHeight="1" x14ac:dyDescent="0.3">
      <c r="A55" s="54">
        <v>41</v>
      </c>
      <c r="B55" s="178" t="s">
        <v>215</v>
      </c>
      <c r="C55" s="56">
        <v>20</v>
      </c>
      <c r="D55" s="152" t="s">
        <v>8</v>
      </c>
      <c r="E55" s="145"/>
      <c r="F55" s="143">
        <v>20</v>
      </c>
      <c r="G55" s="8">
        <v>7.8</v>
      </c>
      <c r="H55" s="8">
        <f t="shared" si="21"/>
        <v>156</v>
      </c>
      <c r="I55" s="11"/>
      <c r="J55" s="10"/>
      <c r="K55" s="143"/>
      <c r="L55" s="8"/>
      <c r="M55" s="8">
        <f t="shared" si="22"/>
        <v>0</v>
      </c>
      <c r="N55" s="11"/>
      <c r="O55" s="10"/>
      <c r="P55" s="143"/>
      <c r="Q55" s="8"/>
      <c r="R55" s="8">
        <f t="shared" si="37"/>
        <v>0</v>
      </c>
      <c r="S55" s="11"/>
      <c r="T55" s="10"/>
      <c r="U55" s="143">
        <v>20</v>
      </c>
      <c r="V55" s="8">
        <v>2.35</v>
      </c>
      <c r="W55" s="8">
        <f t="shared" si="23"/>
        <v>47</v>
      </c>
      <c r="X55" s="11" t="s">
        <v>250</v>
      </c>
      <c r="Y55" s="10"/>
      <c r="Z55" s="15"/>
      <c r="AA55" s="8"/>
      <c r="AB55" s="8">
        <f t="shared" si="24"/>
        <v>0</v>
      </c>
      <c r="AC55" s="11"/>
      <c r="AD55" s="10"/>
      <c r="AE55" s="15"/>
      <c r="AF55" s="8"/>
      <c r="AG55" s="8">
        <f t="shared" si="25"/>
        <v>0</v>
      </c>
      <c r="AH55" s="11"/>
      <c r="AI55" s="10"/>
      <c r="AJ55" s="8">
        <f t="shared" si="26"/>
        <v>2.35</v>
      </c>
      <c r="AK55" s="8">
        <f t="shared" si="27"/>
        <v>47</v>
      </c>
      <c r="AL55" s="12"/>
      <c r="AM55" s="1"/>
      <c r="AN55" s="8">
        <f t="shared" si="28"/>
        <v>2.35</v>
      </c>
      <c r="AO55" s="8">
        <f t="shared" si="29"/>
        <v>47</v>
      </c>
      <c r="AP55" s="13" t="str">
        <f t="shared" si="30"/>
        <v>AMPLA</v>
      </c>
      <c r="AQ55" s="1"/>
      <c r="AR55" s="14">
        <f t="shared" si="31"/>
        <v>7.8</v>
      </c>
      <c r="AS55" s="14" t="b">
        <f t="shared" si="32"/>
        <v>0</v>
      </c>
      <c r="AT55" s="14" t="b">
        <f t="shared" si="33"/>
        <v>0</v>
      </c>
      <c r="AU55" s="14">
        <f t="shared" si="34"/>
        <v>2.35</v>
      </c>
      <c r="AV55" s="14" t="b">
        <f t="shared" si="35"/>
        <v>0</v>
      </c>
      <c r="AW55" s="14" t="b">
        <f t="shared" si="36"/>
        <v>0</v>
      </c>
    </row>
    <row r="56" spans="1:49" ht="15.6" x14ac:dyDescent="0.3">
      <c r="A56" s="54">
        <v>42</v>
      </c>
      <c r="B56" s="55" t="s">
        <v>216</v>
      </c>
      <c r="C56" s="56">
        <v>20</v>
      </c>
      <c r="D56" s="152" t="s">
        <v>8</v>
      </c>
      <c r="E56" s="145"/>
      <c r="F56" s="143">
        <v>20</v>
      </c>
      <c r="G56" s="8">
        <v>3.8</v>
      </c>
      <c r="H56" s="8">
        <f t="shared" si="21"/>
        <v>76</v>
      </c>
      <c r="I56" s="11" t="s">
        <v>250</v>
      </c>
      <c r="J56" s="10"/>
      <c r="K56" s="143"/>
      <c r="L56" s="8"/>
      <c r="M56" s="8">
        <f t="shared" si="22"/>
        <v>0</v>
      </c>
      <c r="N56" s="11"/>
      <c r="O56" s="10"/>
      <c r="P56" s="143"/>
      <c r="Q56" s="8"/>
      <c r="R56" s="8">
        <f t="shared" si="37"/>
        <v>0</v>
      </c>
      <c r="S56" s="11"/>
      <c r="T56" s="10"/>
      <c r="U56" s="143">
        <v>20</v>
      </c>
      <c r="V56" s="8">
        <v>7.6</v>
      </c>
      <c r="W56" s="8">
        <f t="shared" si="23"/>
        <v>152</v>
      </c>
      <c r="X56" s="11"/>
      <c r="Y56" s="10"/>
      <c r="Z56" s="15"/>
      <c r="AA56" s="8"/>
      <c r="AB56" s="8">
        <f t="shared" si="24"/>
        <v>0</v>
      </c>
      <c r="AC56" s="11"/>
      <c r="AD56" s="10"/>
      <c r="AE56" s="15"/>
      <c r="AF56" s="8"/>
      <c r="AG56" s="8">
        <f t="shared" si="25"/>
        <v>0</v>
      </c>
      <c r="AH56" s="11"/>
      <c r="AI56" s="10"/>
      <c r="AJ56" s="8">
        <f t="shared" si="26"/>
        <v>3.8</v>
      </c>
      <c r="AK56" s="8">
        <f t="shared" si="27"/>
        <v>76</v>
      </c>
      <c r="AL56" s="12"/>
      <c r="AM56" s="1"/>
      <c r="AN56" s="8">
        <f t="shared" si="28"/>
        <v>3.8</v>
      </c>
      <c r="AO56" s="8">
        <f t="shared" si="29"/>
        <v>76</v>
      </c>
      <c r="AP56" s="13" t="str">
        <f t="shared" si="30"/>
        <v>ECOLIMP</v>
      </c>
      <c r="AQ56" s="1"/>
      <c r="AR56" s="14">
        <f t="shared" si="31"/>
        <v>3.8</v>
      </c>
      <c r="AS56" s="14" t="b">
        <f t="shared" si="32"/>
        <v>0</v>
      </c>
      <c r="AT56" s="14" t="b">
        <f t="shared" si="33"/>
        <v>0</v>
      </c>
      <c r="AU56" s="14">
        <f t="shared" si="34"/>
        <v>7.6</v>
      </c>
      <c r="AV56" s="14" t="b">
        <f t="shared" si="35"/>
        <v>0</v>
      </c>
      <c r="AW56" s="14" t="b">
        <f t="shared" si="36"/>
        <v>0</v>
      </c>
    </row>
    <row r="57" spans="1:49" ht="15.6" x14ac:dyDescent="0.3">
      <c r="A57" s="54">
        <v>43</v>
      </c>
      <c r="B57" s="55" t="s">
        <v>217</v>
      </c>
      <c r="C57" s="129">
        <v>10</v>
      </c>
      <c r="D57" s="152" t="s">
        <v>8</v>
      </c>
      <c r="E57" s="145"/>
      <c r="F57" s="143">
        <v>10</v>
      </c>
      <c r="G57" s="8"/>
      <c r="H57" s="8">
        <f t="shared" si="21"/>
        <v>0</v>
      </c>
      <c r="I57" s="11"/>
      <c r="J57" s="10"/>
      <c r="K57" s="143"/>
      <c r="L57" s="8"/>
      <c r="M57" s="8">
        <f t="shared" si="22"/>
        <v>0</v>
      </c>
      <c r="N57" s="11"/>
      <c r="O57" s="10"/>
      <c r="P57" s="143"/>
      <c r="Q57" s="8"/>
      <c r="R57" s="8">
        <f t="shared" si="37"/>
        <v>0</v>
      </c>
      <c r="S57" s="11"/>
      <c r="T57" s="10"/>
      <c r="U57" s="143">
        <v>10</v>
      </c>
      <c r="V57" s="8"/>
      <c r="W57" s="8">
        <f t="shared" si="23"/>
        <v>0</v>
      </c>
      <c r="X57" s="11"/>
      <c r="Y57" s="10"/>
      <c r="Z57" s="15"/>
      <c r="AA57" s="8"/>
      <c r="AB57" s="8">
        <f t="shared" si="24"/>
        <v>0</v>
      </c>
      <c r="AC57" s="11"/>
      <c r="AD57" s="10"/>
      <c r="AE57" s="15"/>
      <c r="AF57" s="8"/>
      <c r="AG57" s="8">
        <f t="shared" si="25"/>
        <v>0</v>
      </c>
      <c r="AH57" s="11"/>
      <c r="AI57" s="10"/>
      <c r="AJ57" s="8">
        <f t="shared" si="26"/>
        <v>0</v>
      </c>
      <c r="AK57" s="8" t="e">
        <f>AJ57*D58</f>
        <v>#VALUE!</v>
      </c>
      <c r="AL57" s="12"/>
      <c r="AM57" s="1"/>
      <c r="AN57" s="8">
        <f t="shared" si="28"/>
        <v>0</v>
      </c>
      <c r="AO57" s="8" t="e">
        <f>AN57*D58</f>
        <v>#VALUE!</v>
      </c>
      <c r="AP57" s="13" t="str">
        <f t="shared" si="30"/>
        <v/>
      </c>
      <c r="AQ57" s="1"/>
      <c r="AR57" s="14" t="b">
        <f t="shared" si="31"/>
        <v>0</v>
      </c>
      <c r="AS57" s="14" t="b">
        <f t="shared" si="32"/>
        <v>0</v>
      </c>
      <c r="AT57" s="14" t="b">
        <f t="shared" si="33"/>
        <v>0</v>
      </c>
      <c r="AU57" s="14" t="b">
        <f t="shared" si="34"/>
        <v>0</v>
      </c>
      <c r="AV57" s="14" t="b">
        <f t="shared" si="35"/>
        <v>0</v>
      </c>
      <c r="AW57" s="14" t="b">
        <f t="shared" si="36"/>
        <v>0</v>
      </c>
    </row>
    <row r="58" spans="1:49" ht="15.6" x14ac:dyDescent="0.3">
      <c r="A58" s="54">
        <v>44</v>
      </c>
      <c r="B58" s="55" t="s">
        <v>218</v>
      </c>
      <c r="C58" s="56">
        <v>10</v>
      </c>
      <c r="D58" s="152" t="s">
        <v>8</v>
      </c>
      <c r="E58" s="145"/>
      <c r="F58" s="143">
        <v>10</v>
      </c>
      <c r="G58" s="8">
        <v>6.84</v>
      </c>
      <c r="H58" s="8">
        <f t="shared" si="21"/>
        <v>68.400000000000006</v>
      </c>
      <c r="I58" s="11"/>
      <c r="J58" s="10"/>
      <c r="K58" s="143"/>
      <c r="L58" s="8"/>
      <c r="M58" s="8">
        <f t="shared" si="22"/>
        <v>0</v>
      </c>
      <c r="N58" s="11"/>
      <c r="O58" s="10"/>
      <c r="P58" s="143"/>
      <c r="Q58" s="8"/>
      <c r="R58" s="8">
        <f t="shared" si="37"/>
        <v>0</v>
      </c>
      <c r="S58" s="11"/>
      <c r="T58" s="10"/>
      <c r="U58" s="143">
        <v>10</v>
      </c>
      <c r="V58" s="8">
        <v>3.38</v>
      </c>
      <c r="W58" s="8">
        <f t="shared" si="23"/>
        <v>33.799999999999997</v>
      </c>
      <c r="X58" s="11" t="s">
        <v>250</v>
      </c>
      <c r="Y58" s="10"/>
      <c r="Z58" s="15"/>
      <c r="AA58" s="8"/>
      <c r="AB58" s="8">
        <f t="shared" si="24"/>
        <v>0</v>
      </c>
      <c r="AC58" s="11"/>
      <c r="AD58" s="10"/>
      <c r="AE58" s="15"/>
      <c r="AF58" s="8"/>
      <c r="AG58" s="8">
        <f t="shared" si="25"/>
        <v>0</v>
      </c>
      <c r="AH58" s="11"/>
      <c r="AI58" s="10"/>
      <c r="AJ58" s="8">
        <f t="shared" si="26"/>
        <v>3.38</v>
      </c>
      <c r="AK58" s="8">
        <f t="shared" si="27"/>
        <v>33.799999999999997</v>
      </c>
      <c r="AL58" s="12"/>
      <c r="AM58" s="1"/>
      <c r="AN58" s="8">
        <f t="shared" si="28"/>
        <v>3.38</v>
      </c>
      <c r="AO58" s="8">
        <f t="shared" si="29"/>
        <v>33.799999999999997</v>
      </c>
      <c r="AP58" s="13" t="str">
        <f t="shared" si="30"/>
        <v>AMPLA</v>
      </c>
      <c r="AQ58" s="1"/>
      <c r="AR58" s="14">
        <f t="shared" si="31"/>
        <v>6.84</v>
      </c>
      <c r="AS58" s="14" t="b">
        <f t="shared" si="32"/>
        <v>0</v>
      </c>
      <c r="AT58" s="14" t="b">
        <f t="shared" si="33"/>
        <v>0</v>
      </c>
      <c r="AU58" s="14">
        <f t="shared" si="34"/>
        <v>3.38</v>
      </c>
      <c r="AV58" s="14" t="b">
        <f t="shared" si="35"/>
        <v>0</v>
      </c>
      <c r="AW58" s="14" t="b">
        <f t="shared" si="36"/>
        <v>0</v>
      </c>
    </row>
    <row r="59" spans="1:49" ht="15.6" x14ac:dyDescent="0.3">
      <c r="A59" s="54">
        <v>45</v>
      </c>
      <c r="B59" s="55" t="s">
        <v>219</v>
      </c>
      <c r="C59" s="56">
        <v>10</v>
      </c>
      <c r="D59" s="152" t="s">
        <v>8</v>
      </c>
      <c r="E59" s="145"/>
      <c r="F59" s="143">
        <v>10</v>
      </c>
      <c r="G59" s="8">
        <v>7.51</v>
      </c>
      <c r="H59" s="8">
        <f t="shared" si="21"/>
        <v>75.099999999999994</v>
      </c>
      <c r="I59" s="11"/>
      <c r="J59" s="10"/>
      <c r="K59" s="143"/>
      <c r="L59" s="8"/>
      <c r="M59" s="8">
        <f t="shared" si="22"/>
        <v>0</v>
      </c>
      <c r="N59" s="11"/>
      <c r="O59" s="10"/>
      <c r="P59" s="143"/>
      <c r="Q59" s="8"/>
      <c r="R59" s="8">
        <f t="shared" si="37"/>
        <v>0</v>
      </c>
      <c r="S59" s="11"/>
      <c r="T59" s="10"/>
      <c r="U59" s="143">
        <v>10</v>
      </c>
      <c r="V59" s="8">
        <v>2.77</v>
      </c>
      <c r="W59" s="8">
        <f t="shared" si="23"/>
        <v>27.7</v>
      </c>
      <c r="X59" s="11" t="s">
        <v>250</v>
      </c>
      <c r="Y59" s="10"/>
      <c r="Z59" s="15"/>
      <c r="AA59" s="8"/>
      <c r="AB59" s="8">
        <f t="shared" si="24"/>
        <v>0</v>
      </c>
      <c r="AC59" s="11"/>
      <c r="AD59" s="10"/>
      <c r="AE59" s="15"/>
      <c r="AF59" s="8"/>
      <c r="AG59" s="8">
        <f t="shared" si="25"/>
        <v>0</v>
      </c>
      <c r="AH59" s="11"/>
      <c r="AI59" s="10"/>
      <c r="AJ59" s="8">
        <f t="shared" si="26"/>
        <v>2.77</v>
      </c>
      <c r="AK59" s="8">
        <f t="shared" si="27"/>
        <v>27.7</v>
      </c>
      <c r="AL59" s="12"/>
      <c r="AM59" s="1"/>
      <c r="AN59" s="8">
        <f t="shared" si="28"/>
        <v>2.77</v>
      </c>
      <c r="AO59" s="8">
        <f t="shared" si="29"/>
        <v>27.7</v>
      </c>
      <c r="AP59" s="13" t="str">
        <f t="shared" si="30"/>
        <v>AMPLA</v>
      </c>
      <c r="AQ59" s="1"/>
      <c r="AR59" s="14">
        <f t="shared" si="31"/>
        <v>7.51</v>
      </c>
      <c r="AS59" s="14" t="b">
        <f t="shared" si="32"/>
        <v>0</v>
      </c>
      <c r="AT59" s="14" t="b">
        <f t="shared" si="33"/>
        <v>0</v>
      </c>
      <c r="AU59" s="14">
        <f t="shared" si="34"/>
        <v>2.77</v>
      </c>
      <c r="AV59" s="14" t="b">
        <f t="shared" si="35"/>
        <v>0</v>
      </c>
      <c r="AW59" s="14" t="b">
        <f t="shared" si="36"/>
        <v>0</v>
      </c>
    </row>
    <row r="60" spans="1:49" ht="15.6" x14ac:dyDescent="0.3">
      <c r="A60" s="54">
        <v>46</v>
      </c>
      <c r="B60" s="55" t="s">
        <v>220</v>
      </c>
      <c r="C60" s="56">
        <v>8</v>
      </c>
      <c r="D60" s="152" t="s">
        <v>8</v>
      </c>
      <c r="E60" s="145"/>
      <c r="F60" s="143">
        <v>8</v>
      </c>
      <c r="G60" s="8">
        <v>5.8</v>
      </c>
      <c r="H60" s="8">
        <f t="shared" si="21"/>
        <v>46.4</v>
      </c>
      <c r="I60" s="11"/>
      <c r="J60" s="10"/>
      <c r="K60" s="143"/>
      <c r="L60" s="8"/>
      <c r="M60" s="8">
        <f t="shared" si="22"/>
        <v>0</v>
      </c>
      <c r="N60" s="11"/>
      <c r="O60" s="10"/>
      <c r="P60" s="143"/>
      <c r="Q60" s="8"/>
      <c r="R60" s="8">
        <f t="shared" si="37"/>
        <v>0</v>
      </c>
      <c r="S60" s="11"/>
      <c r="T60" s="10"/>
      <c r="U60" s="143">
        <v>8</v>
      </c>
      <c r="V60" s="8">
        <v>3.68</v>
      </c>
      <c r="W60" s="8">
        <f t="shared" si="23"/>
        <v>29.44</v>
      </c>
      <c r="X60" s="11" t="s">
        <v>250</v>
      </c>
      <c r="Y60" s="10"/>
      <c r="Z60" s="15"/>
      <c r="AA60" s="8"/>
      <c r="AB60" s="8">
        <f t="shared" si="24"/>
        <v>0</v>
      </c>
      <c r="AC60" s="11"/>
      <c r="AD60" s="10"/>
      <c r="AE60" s="15"/>
      <c r="AF60" s="8"/>
      <c r="AG60" s="8">
        <f t="shared" si="25"/>
        <v>0</v>
      </c>
      <c r="AH60" s="11"/>
      <c r="AI60" s="10"/>
      <c r="AJ60" s="8">
        <f t="shared" si="26"/>
        <v>3.68</v>
      </c>
      <c r="AK60" s="8">
        <f t="shared" si="27"/>
        <v>29.44</v>
      </c>
      <c r="AL60" s="12"/>
      <c r="AM60" s="1"/>
      <c r="AN60" s="8">
        <f t="shared" si="28"/>
        <v>3.68</v>
      </c>
      <c r="AO60" s="8">
        <f t="shared" si="29"/>
        <v>29.44</v>
      </c>
      <c r="AP60" s="13" t="str">
        <f t="shared" si="30"/>
        <v>AMPLA</v>
      </c>
      <c r="AQ60" s="1"/>
      <c r="AR60" s="14">
        <f t="shared" si="31"/>
        <v>5.8</v>
      </c>
      <c r="AS60" s="14" t="b">
        <f t="shared" si="32"/>
        <v>0</v>
      </c>
      <c r="AT60" s="14" t="b">
        <f t="shared" si="33"/>
        <v>0</v>
      </c>
      <c r="AU60" s="14">
        <f t="shared" si="34"/>
        <v>3.68</v>
      </c>
      <c r="AV60" s="14" t="b">
        <f t="shared" si="35"/>
        <v>0</v>
      </c>
      <c r="AW60" s="14" t="b">
        <f t="shared" si="36"/>
        <v>0</v>
      </c>
    </row>
    <row r="61" spans="1:49" ht="15.6" x14ac:dyDescent="0.3">
      <c r="A61" s="54">
        <v>47</v>
      </c>
      <c r="B61" s="55" t="s">
        <v>221</v>
      </c>
      <c r="C61" s="56">
        <v>2</v>
      </c>
      <c r="D61" s="152" t="s">
        <v>8</v>
      </c>
      <c r="E61" s="145"/>
      <c r="F61" s="143">
        <v>2</v>
      </c>
      <c r="G61" s="8">
        <v>2.17</v>
      </c>
      <c r="H61" s="8">
        <f t="shared" si="21"/>
        <v>4.34</v>
      </c>
      <c r="I61" s="11"/>
      <c r="J61" s="10"/>
      <c r="K61" s="143"/>
      <c r="L61" s="8"/>
      <c r="M61" s="8">
        <f t="shared" si="22"/>
        <v>0</v>
      </c>
      <c r="N61" s="11"/>
      <c r="O61" s="10"/>
      <c r="P61" s="143"/>
      <c r="Q61" s="8"/>
      <c r="R61" s="8">
        <f t="shared" si="37"/>
        <v>0</v>
      </c>
      <c r="S61" s="11"/>
      <c r="T61" s="10"/>
      <c r="U61" s="143">
        <v>2</v>
      </c>
      <c r="V61" s="8">
        <v>1.33</v>
      </c>
      <c r="W61" s="8">
        <f t="shared" si="23"/>
        <v>2.66</v>
      </c>
      <c r="X61" s="11" t="s">
        <v>250</v>
      </c>
      <c r="Y61" s="10"/>
      <c r="Z61" s="15"/>
      <c r="AA61" s="8"/>
      <c r="AB61" s="8">
        <f t="shared" si="24"/>
        <v>0</v>
      </c>
      <c r="AC61" s="11"/>
      <c r="AD61" s="10"/>
      <c r="AE61" s="15"/>
      <c r="AF61" s="8"/>
      <c r="AG61" s="8">
        <f t="shared" si="25"/>
        <v>0</v>
      </c>
      <c r="AH61" s="11"/>
      <c r="AI61" s="10"/>
      <c r="AJ61" s="8">
        <f t="shared" si="26"/>
        <v>1.33</v>
      </c>
      <c r="AK61" s="8">
        <f t="shared" si="27"/>
        <v>2.66</v>
      </c>
      <c r="AL61" s="12"/>
      <c r="AM61" s="1"/>
      <c r="AN61" s="8">
        <f t="shared" si="28"/>
        <v>1.33</v>
      </c>
      <c r="AO61" s="8">
        <f t="shared" si="29"/>
        <v>2.66</v>
      </c>
      <c r="AP61" s="13" t="str">
        <f t="shared" si="30"/>
        <v>AMPLA</v>
      </c>
      <c r="AQ61" s="1"/>
      <c r="AR61" s="14">
        <f t="shared" si="31"/>
        <v>2.17</v>
      </c>
      <c r="AS61" s="14" t="b">
        <f t="shared" si="32"/>
        <v>0</v>
      </c>
      <c r="AT61" s="14" t="b">
        <f t="shared" si="33"/>
        <v>0</v>
      </c>
      <c r="AU61" s="14">
        <f t="shared" si="34"/>
        <v>1.33</v>
      </c>
      <c r="AV61" s="14" t="b">
        <f t="shared" si="35"/>
        <v>0</v>
      </c>
      <c r="AW61" s="14" t="b">
        <f t="shared" si="36"/>
        <v>0</v>
      </c>
    </row>
    <row r="62" spans="1:49" ht="15.6" x14ac:dyDescent="0.3">
      <c r="A62" s="54">
        <v>48</v>
      </c>
      <c r="B62" s="55" t="s">
        <v>222</v>
      </c>
      <c r="C62" s="56">
        <v>2</v>
      </c>
      <c r="D62" s="152" t="s">
        <v>8</v>
      </c>
      <c r="E62" s="145"/>
      <c r="F62" s="143">
        <v>2</v>
      </c>
      <c r="G62" s="8">
        <v>181.25</v>
      </c>
      <c r="H62" s="8">
        <f t="shared" si="21"/>
        <v>362.5</v>
      </c>
      <c r="I62" s="11"/>
      <c r="J62" s="10"/>
      <c r="K62" s="143"/>
      <c r="L62" s="8"/>
      <c r="M62" s="8">
        <f t="shared" si="22"/>
        <v>0</v>
      </c>
      <c r="N62" s="11"/>
      <c r="O62" s="10"/>
      <c r="P62" s="143"/>
      <c r="Q62" s="8"/>
      <c r="R62" s="8">
        <f t="shared" si="37"/>
        <v>0</v>
      </c>
      <c r="S62" s="11"/>
      <c r="T62" s="10"/>
      <c r="U62" s="143">
        <v>2</v>
      </c>
      <c r="V62" s="8">
        <v>1.39</v>
      </c>
      <c r="W62" s="8">
        <f t="shared" si="23"/>
        <v>2.78</v>
      </c>
      <c r="X62" s="11" t="s">
        <v>250</v>
      </c>
      <c r="Y62" s="10"/>
      <c r="Z62" s="15"/>
      <c r="AA62" s="8"/>
      <c r="AB62" s="8">
        <f t="shared" si="24"/>
        <v>0</v>
      </c>
      <c r="AC62" s="11"/>
      <c r="AD62" s="10"/>
      <c r="AE62" s="15"/>
      <c r="AF62" s="8"/>
      <c r="AG62" s="8">
        <f t="shared" si="25"/>
        <v>0</v>
      </c>
      <c r="AH62" s="11"/>
      <c r="AI62" s="10"/>
      <c r="AJ62" s="8">
        <f t="shared" si="26"/>
        <v>1.39</v>
      </c>
      <c r="AK62" s="8">
        <f t="shared" si="27"/>
        <v>2.78</v>
      </c>
      <c r="AL62" s="12"/>
      <c r="AM62" s="1"/>
      <c r="AN62" s="8">
        <f t="shared" si="28"/>
        <v>1.39</v>
      </c>
      <c r="AO62" s="8">
        <f t="shared" si="29"/>
        <v>2.78</v>
      </c>
      <c r="AP62" s="13" t="str">
        <f t="shared" si="30"/>
        <v>AMPLA</v>
      </c>
      <c r="AQ62" s="1"/>
      <c r="AR62" s="14">
        <f t="shared" si="31"/>
        <v>181.25</v>
      </c>
      <c r="AS62" s="14" t="b">
        <f t="shared" si="32"/>
        <v>0</v>
      </c>
      <c r="AT62" s="14" t="b">
        <f t="shared" si="33"/>
        <v>0</v>
      </c>
      <c r="AU62" s="14">
        <f t="shared" si="34"/>
        <v>1.39</v>
      </c>
      <c r="AV62" s="14" t="b">
        <f t="shared" si="35"/>
        <v>0</v>
      </c>
      <c r="AW62" s="14" t="b">
        <f t="shared" si="36"/>
        <v>0</v>
      </c>
    </row>
    <row r="63" spans="1:49" ht="15.6" x14ac:dyDescent="0.3">
      <c r="A63" s="54">
        <v>49</v>
      </c>
      <c r="B63" s="55" t="s">
        <v>223</v>
      </c>
      <c r="C63" s="56">
        <v>2</v>
      </c>
      <c r="D63" s="152" t="s">
        <v>8</v>
      </c>
      <c r="E63" s="145"/>
      <c r="F63" s="143">
        <v>2</v>
      </c>
      <c r="G63" s="8">
        <v>5.8</v>
      </c>
      <c r="H63" s="8">
        <f t="shared" si="21"/>
        <v>11.6</v>
      </c>
      <c r="I63" s="11"/>
      <c r="J63" s="10"/>
      <c r="K63" s="143"/>
      <c r="L63" s="8"/>
      <c r="M63" s="8">
        <f t="shared" si="22"/>
        <v>0</v>
      </c>
      <c r="N63" s="11"/>
      <c r="O63" s="10"/>
      <c r="P63" s="143"/>
      <c r="Q63" s="8"/>
      <c r="R63" s="8">
        <f t="shared" si="37"/>
        <v>0</v>
      </c>
      <c r="S63" s="11"/>
      <c r="T63" s="10"/>
      <c r="U63" s="143">
        <v>2</v>
      </c>
      <c r="V63" s="8">
        <v>2.09</v>
      </c>
      <c r="W63" s="8">
        <f t="shared" si="23"/>
        <v>4.18</v>
      </c>
      <c r="X63" s="11" t="s">
        <v>250</v>
      </c>
      <c r="Y63" s="10"/>
      <c r="Z63" s="15"/>
      <c r="AA63" s="8"/>
      <c r="AB63" s="8">
        <f t="shared" si="24"/>
        <v>0</v>
      </c>
      <c r="AC63" s="11"/>
      <c r="AD63" s="10"/>
      <c r="AE63" s="15"/>
      <c r="AF63" s="8"/>
      <c r="AG63" s="8">
        <f t="shared" si="25"/>
        <v>0</v>
      </c>
      <c r="AH63" s="11"/>
      <c r="AI63" s="10"/>
      <c r="AJ63" s="8">
        <f t="shared" si="26"/>
        <v>2.09</v>
      </c>
      <c r="AK63" s="8">
        <f t="shared" si="27"/>
        <v>4.18</v>
      </c>
      <c r="AL63" s="12"/>
      <c r="AM63" s="1"/>
      <c r="AN63" s="8">
        <f t="shared" si="28"/>
        <v>2.09</v>
      </c>
      <c r="AO63" s="8">
        <f t="shared" si="29"/>
        <v>4.18</v>
      </c>
      <c r="AP63" s="13" t="str">
        <f t="shared" si="30"/>
        <v>AMPLA</v>
      </c>
      <c r="AQ63" s="1"/>
      <c r="AR63" s="14">
        <f t="shared" si="31"/>
        <v>5.8</v>
      </c>
      <c r="AS63" s="14" t="b">
        <f t="shared" si="32"/>
        <v>0</v>
      </c>
      <c r="AT63" s="14" t="b">
        <f t="shared" si="33"/>
        <v>0</v>
      </c>
      <c r="AU63" s="14">
        <f t="shared" si="34"/>
        <v>2.09</v>
      </c>
      <c r="AV63" s="14" t="b">
        <f t="shared" si="35"/>
        <v>0</v>
      </c>
      <c r="AW63" s="14" t="b">
        <f t="shared" si="36"/>
        <v>0</v>
      </c>
    </row>
    <row r="64" spans="1:49" ht="15.6" x14ac:dyDescent="0.3">
      <c r="A64" s="54">
        <v>50</v>
      </c>
      <c r="B64" s="55" t="s">
        <v>235</v>
      </c>
      <c r="C64" s="56">
        <v>2</v>
      </c>
      <c r="D64" s="152" t="s">
        <v>8</v>
      </c>
      <c r="E64" s="145"/>
      <c r="F64" s="143">
        <v>2</v>
      </c>
      <c r="G64" s="8">
        <v>68</v>
      </c>
      <c r="H64" s="8">
        <f t="shared" si="21"/>
        <v>136</v>
      </c>
      <c r="I64" s="11"/>
      <c r="J64" s="10"/>
      <c r="K64" s="143"/>
      <c r="L64" s="8"/>
      <c r="M64" s="8">
        <f t="shared" si="22"/>
        <v>0</v>
      </c>
      <c r="N64" s="11"/>
      <c r="O64" s="10"/>
      <c r="P64" s="143"/>
      <c r="Q64" s="8"/>
      <c r="R64" s="8">
        <f t="shared" si="37"/>
        <v>0</v>
      </c>
      <c r="S64" s="11"/>
      <c r="T64" s="10"/>
      <c r="U64" s="143">
        <v>2</v>
      </c>
      <c r="V64" s="8">
        <v>3.1</v>
      </c>
      <c r="W64" s="8">
        <f t="shared" si="23"/>
        <v>6.2</v>
      </c>
      <c r="X64" s="11" t="s">
        <v>250</v>
      </c>
      <c r="Y64" s="10"/>
      <c r="Z64" s="15"/>
      <c r="AA64" s="8"/>
      <c r="AB64" s="8">
        <f t="shared" si="24"/>
        <v>0</v>
      </c>
      <c r="AC64" s="11"/>
      <c r="AD64" s="10"/>
      <c r="AE64" s="15"/>
      <c r="AF64" s="8"/>
      <c r="AG64" s="8">
        <f t="shared" si="25"/>
        <v>0</v>
      </c>
      <c r="AH64" s="11"/>
      <c r="AI64" s="10"/>
      <c r="AJ64" s="8">
        <f t="shared" si="26"/>
        <v>3.1</v>
      </c>
      <c r="AK64" s="8">
        <f t="shared" si="27"/>
        <v>6.2</v>
      </c>
      <c r="AL64" s="12"/>
      <c r="AM64" s="1"/>
      <c r="AN64" s="8">
        <f t="shared" si="28"/>
        <v>3.1</v>
      </c>
      <c r="AO64" s="8">
        <f t="shared" si="29"/>
        <v>6.2</v>
      </c>
      <c r="AP64" s="13" t="str">
        <f t="shared" si="30"/>
        <v>AMPLA</v>
      </c>
      <c r="AQ64" s="1"/>
      <c r="AR64" s="14">
        <f t="shared" si="31"/>
        <v>68</v>
      </c>
      <c r="AS64" s="14" t="b">
        <f t="shared" si="32"/>
        <v>0</v>
      </c>
      <c r="AT64" s="14" t="b">
        <f t="shared" si="33"/>
        <v>0</v>
      </c>
      <c r="AU64" s="14">
        <f t="shared" si="34"/>
        <v>3.1</v>
      </c>
      <c r="AV64" s="14" t="b">
        <f t="shared" si="35"/>
        <v>0</v>
      </c>
      <c r="AW64" s="14" t="b">
        <f t="shared" si="36"/>
        <v>0</v>
      </c>
    </row>
    <row r="65" spans="1:49" ht="15.6" x14ac:dyDescent="0.3">
      <c r="A65" s="54">
        <v>51</v>
      </c>
      <c r="B65" s="55" t="s">
        <v>225</v>
      </c>
      <c r="C65" s="56">
        <v>5</v>
      </c>
      <c r="D65" s="152" t="s">
        <v>8</v>
      </c>
      <c r="E65" s="145"/>
      <c r="F65" s="143">
        <v>5</v>
      </c>
      <c r="G65" s="8">
        <v>3.19</v>
      </c>
      <c r="H65" s="8">
        <f t="shared" si="21"/>
        <v>15.95</v>
      </c>
      <c r="I65" s="11"/>
      <c r="J65" s="10"/>
      <c r="K65" s="143"/>
      <c r="L65" s="8"/>
      <c r="M65" s="8">
        <f t="shared" si="22"/>
        <v>0</v>
      </c>
      <c r="N65" s="11"/>
      <c r="O65" s="10"/>
      <c r="P65" s="143"/>
      <c r="Q65" s="8"/>
      <c r="R65" s="8">
        <f t="shared" si="37"/>
        <v>0</v>
      </c>
      <c r="S65" s="11"/>
      <c r="T65" s="10"/>
      <c r="U65" s="143">
        <v>5</v>
      </c>
      <c r="V65" s="8">
        <v>1.55</v>
      </c>
      <c r="W65" s="8">
        <f t="shared" si="23"/>
        <v>7.75</v>
      </c>
      <c r="X65" s="11" t="s">
        <v>250</v>
      </c>
      <c r="Y65" s="10"/>
      <c r="Z65" s="15"/>
      <c r="AA65" s="8"/>
      <c r="AB65" s="8">
        <f t="shared" si="24"/>
        <v>0</v>
      </c>
      <c r="AC65" s="11"/>
      <c r="AD65" s="10"/>
      <c r="AE65" s="15"/>
      <c r="AF65" s="8"/>
      <c r="AG65" s="8">
        <f t="shared" si="25"/>
        <v>0</v>
      </c>
      <c r="AH65" s="11"/>
      <c r="AI65" s="10"/>
      <c r="AJ65" s="8">
        <f t="shared" si="26"/>
        <v>1.55</v>
      </c>
      <c r="AK65" s="8">
        <f t="shared" si="27"/>
        <v>7.75</v>
      </c>
      <c r="AL65" s="12"/>
      <c r="AM65" s="1"/>
      <c r="AN65" s="8">
        <f t="shared" si="28"/>
        <v>1.55</v>
      </c>
      <c r="AO65" s="8">
        <f t="shared" si="29"/>
        <v>7.75</v>
      </c>
      <c r="AP65" s="13" t="str">
        <f t="shared" si="30"/>
        <v>AMPLA</v>
      </c>
      <c r="AQ65" s="1"/>
      <c r="AR65" s="14">
        <f t="shared" si="31"/>
        <v>3.19</v>
      </c>
      <c r="AS65" s="14" t="b">
        <f t="shared" si="32"/>
        <v>0</v>
      </c>
      <c r="AT65" s="14" t="b">
        <f t="shared" si="33"/>
        <v>0</v>
      </c>
      <c r="AU65" s="14">
        <f t="shared" si="34"/>
        <v>1.55</v>
      </c>
      <c r="AV65" s="14" t="b">
        <f t="shared" si="35"/>
        <v>0</v>
      </c>
      <c r="AW65" s="14" t="b">
        <f t="shared" si="36"/>
        <v>0</v>
      </c>
    </row>
    <row r="66" spans="1:49" ht="15.6" x14ac:dyDescent="0.3">
      <c r="A66" s="54">
        <v>52</v>
      </c>
      <c r="B66" s="55" t="s">
        <v>226</v>
      </c>
      <c r="C66" s="56">
        <v>1</v>
      </c>
      <c r="D66" s="152" t="s">
        <v>8</v>
      </c>
      <c r="E66" s="145"/>
      <c r="F66" s="143">
        <v>1</v>
      </c>
      <c r="G66" s="8"/>
      <c r="H66" s="8">
        <f t="shared" si="21"/>
        <v>0</v>
      </c>
      <c r="I66" s="11"/>
      <c r="J66" s="10"/>
      <c r="K66" s="143"/>
      <c r="L66" s="8"/>
      <c r="M66" s="8">
        <f t="shared" si="22"/>
        <v>0</v>
      </c>
      <c r="N66" s="11"/>
      <c r="O66" s="10"/>
      <c r="P66" s="143"/>
      <c r="Q66" s="8"/>
      <c r="R66" s="8">
        <f t="shared" si="37"/>
        <v>0</v>
      </c>
      <c r="S66" s="11"/>
      <c r="T66" s="10"/>
      <c r="U66" s="143">
        <v>1</v>
      </c>
      <c r="V66" s="8">
        <v>57.31</v>
      </c>
      <c r="W66" s="8">
        <f t="shared" si="23"/>
        <v>57.31</v>
      </c>
      <c r="X66" s="11" t="s">
        <v>250</v>
      </c>
      <c r="Y66" s="10"/>
      <c r="Z66" s="15"/>
      <c r="AA66" s="8"/>
      <c r="AB66" s="8">
        <f t="shared" si="24"/>
        <v>0</v>
      </c>
      <c r="AC66" s="11"/>
      <c r="AD66" s="10"/>
      <c r="AE66" s="15"/>
      <c r="AF66" s="8"/>
      <c r="AG66" s="8">
        <f t="shared" si="25"/>
        <v>0</v>
      </c>
      <c r="AH66" s="11"/>
      <c r="AI66" s="10"/>
      <c r="AJ66" s="8">
        <f t="shared" si="26"/>
        <v>57.31</v>
      </c>
      <c r="AK66" s="8">
        <f t="shared" si="27"/>
        <v>57.31</v>
      </c>
      <c r="AL66" s="12"/>
      <c r="AM66" s="1"/>
      <c r="AN66" s="8">
        <f t="shared" si="28"/>
        <v>57.31</v>
      </c>
      <c r="AO66" s="8">
        <f t="shared" si="29"/>
        <v>57.31</v>
      </c>
      <c r="AP66" s="13" t="str">
        <f t="shared" si="30"/>
        <v>AMPLA</v>
      </c>
      <c r="AQ66" s="1"/>
      <c r="AR66" s="14" t="b">
        <f t="shared" si="31"/>
        <v>0</v>
      </c>
      <c r="AS66" s="14" t="b">
        <f t="shared" si="32"/>
        <v>0</v>
      </c>
      <c r="AT66" s="14" t="b">
        <f t="shared" si="33"/>
        <v>0</v>
      </c>
      <c r="AU66" s="14">
        <f t="shared" si="34"/>
        <v>57.31</v>
      </c>
      <c r="AV66" s="14" t="b">
        <f t="shared" si="35"/>
        <v>0</v>
      </c>
      <c r="AW66" s="14" t="b">
        <f t="shared" si="36"/>
        <v>0</v>
      </c>
    </row>
    <row r="67" spans="1:49" ht="15.6" x14ac:dyDescent="0.3">
      <c r="A67" s="54">
        <v>53</v>
      </c>
      <c r="B67" s="55" t="s">
        <v>227</v>
      </c>
      <c r="C67" s="56">
        <v>2</v>
      </c>
      <c r="D67" s="152" t="s">
        <v>8</v>
      </c>
      <c r="E67" s="145"/>
      <c r="F67" s="143">
        <v>2</v>
      </c>
      <c r="G67" s="8">
        <v>8.6999999999999993</v>
      </c>
      <c r="H67" s="8">
        <f t="shared" si="21"/>
        <v>17.399999999999999</v>
      </c>
      <c r="I67" s="11"/>
      <c r="J67" s="10"/>
      <c r="K67" s="143"/>
      <c r="L67" s="8"/>
      <c r="M67" s="8">
        <f t="shared" si="22"/>
        <v>0</v>
      </c>
      <c r="N67" s="11"/>
      <c r="O67" s="10"/>
      <c r="P67" s="143"/>
      <c r="Q67" s="8"/>
      <c r="R67" s="8">
        <f t="shared" si="37"/>
        <v>0</v>
      </c>
      <c r="S67" s="11"/>
      <c r="T67" s="10"/>
      <c r="U67" s="143">
        <v>2</v>
      </c>
      <c r="V67" s="8">
        <v>2.66</v>
      </c>
      <c r="W67" s="8">
        <f t="shared" si="23"/>
        <v>5.32</v>
      </c>
      <c r="X67" s="11" t="s">
        <v>250</v>
      </c>
      <c r="Y67" s="10"/>
      <c r="Z67" s="15"/>
      <c r="AA67" s="8"/>
      <c r="AB67" s="8">
        <f t="shared" si="24"/>
        <v>0</v>
      </c>
      <c r="AC67" s="11"/>
      <c r="AD67" s="10"/>
      <c r="AE67" s="15"/>
      <c r="AF67" s="8"/>
      <c r="AG67" s="8">
        <f t="shared" si="25"/>
        <v>0</v>
      </c>
      <c r="AH67" s="11"/>
      <c r="AI67" s="10"/>
      <c r="AJ67" s="8">
        <f t="shared" si="26"/>
        <v>2.66</v>
      </c>
      <c r="AK67" s="8">
        <f t="shared" si="27"/>
        <v>5.32</v>
      </c>
      <c r="AL67" s="12"/>
      <c r="AM67" s="1"/>
      <c r="AN67" s="8">
        <f t="shared" si="28"/>
        <v>2.66</v>
      </c>
      <c r="AO67" s="8">
        <f t="shared" si="29"/>
        <v>5.32</v>
      </c>
      <c r="AP67" s="13" t="str">
        <f t="shared" si="30"/>
        <v>AMPLA</v>
      </c>
      <c r="AQ67" s="1"/>
      <c r="AR67" s="14">
        <f t="shared" si="31"/>
        <v>8.6999999999999993</v>
      </c>
      <c r="AS67" s="14" t="b">
        <f t="shared" si="32"/>
        <v>0</v>
      </c>
      <c r="AT67" s="14" t="b">
        <f t="shared" si="33"/>
        <v>0</v>
      </c>
      <c r="AU67" s="14">
        <f t="shared" si="34"/>
        <v>2.66</v>
      </c>
      <c r="AV67" s="14" t="b">
        <f t="shared" si="35"/>
        <v>0</v>
      </c>
      <c r="AW67" s="14" t="b">
        <f t="shared" si="36"/>
        <v>0</v>
      </c>
    </row>
    <row r="68" spans="1:49" ht="15.6" x14ac:dyDescent="0.3">
      <c r="A68" s="54">
        <v>54</v>
      </c>
      <c r="B68" s="175" t="s">
        <v>232</v>
      </c>
      <c r="C68" s="56">
        <v>10</v>
      </c>
      <c r="D68" s="152" t="s">
        <v>8</v>
      </c>
      <c r="E68" s="145"/>
      <c r="F68" s="143">
        <v>10</v>
      </c>
      <c r="G68" s="8"/>
      <c r="H68" s="8">
        <f t="shared" si="21"/>
        <v>0</v>
      </c>
      <c r="I68" s="11"/>
      <c r="J68" s="10"/>
      <c r="K68" s="143"/>
      <c r="L68" s="8"/>
      <c r="M68" s="8">
        <f t="shared" si="22"/>
        <v>0</v>
      </c>
      <c r="N68" s="11"/>
      <c r="O68" s="10"/>
      <c r="P68" s="143"/>
      <c r="Q68" s="8"/>
      <c r="R68" s="8">
        <f t="shared" si="37"/>
        <v>0</v>
      </c>
      <c r="S68" s="11"/>
      <c r="T68" s="10"/>
      <c r="U68" s="143">
        <v>10</v>
      </c>
      <c r="V68" s="8">
        <v>1.39</v>
      </c>
      <c r="W68" s="8">
        <f t="shared" si="23"/>
        <v>13.899999999999999</v>
      </c>
      <c r="X68" s="11" t="s">
        <v>250</v>
      </c>
      <c r="Y68" s="10"/>
      <c r="Z68" s="15"/>
      <c r="AA68" s="8"/>
      <c r="AB68" s="8">
        <f t="shared" si="24"/>
        <v>0</v>
      </c>
      <c r="AC68" s="11"/>
      <c r="AD68" s="10"/>
      <c r="AE68" s="15"/>
      <c r="AF68" s="8"/>
      <c r="AG68" s="8">
        <f t="shared" si="25"/>
        <v>0</v>
      </c>
      <c r="AH68" s="11"/>
      <c r="AI68" s="10"/>
      <c r="AJ68" s="8">
        <f t="shared" si="26"/>
        <v>1.39</v>
      </c>
      <c r="AK68" s="8">
        <f t="shared" si="27"/>
        <v>13.899999999999999</v>
      </c>
      <c r="AL68" s="12"/>
      <c r="AM68" s="1"/>
      <c r="AN68" s="8">
        <f t="shared" si="28"/>
        <v>1.39</v>
      </c>
      <c r="AO68" s="8">
        <f t="shared" si="29"/>
        <v>13.899999999999999</v>
      </c>
      <c r="AP68" s="13" t="str">
        <f t="shared" si="30"/>
        <v>AMPLA</v>
      </c>
      <c r="AQ68" s="1"/>
      <c r="AR68" s="14" t="b">
        <f t="shared" si="31"/>
        <v>0</v>
      </c>
      <c r="AS68" s="14" t="b">
        <f t="shared" si="32"/>
        <v>0</v>
      </c>
      <c r="AT68" s="14" t="b">
        <f t="shared" si="33"/>
        <v>0</v>
      </c>
      <c r="AU68" s="14">
        <f t="shared" si="34"/>
        <v>1.39</v>
      </c>
      <c r="AV68" s="14" t="b">
        <f t="shared" si="35"/>
        <v>0</v>
      </c>
      <c r="AW68" s="14" t="b">
        <f t="shared" si="36"/>
        <v>0</v>
      </c>
    </row>
    <row r="69" spans="1:49" ht="15.6" x14ac:dyDescent="0.3">
      <c r="A69" s="54">
        <v>55</v>
      </c>
      <c r="B69" s="175" t="s">
        <v>233</v>
      </c>
      <c r="C69" s="56">
        <v>10</v>
      </c>
      <c r="D69" s="152" t="s">
        <v>8</v>
      </c>
      <c r="E69" s="145"/>
      <c r="F69" s="143">
        <v>10</v>
      </c>
      <c r="G69" s="8"/>
      <c r="H69" s="8">
        <f t="shared" si="21"/>
        <v>0</v>
      </c>
      <c r="I69" s="11"/>
      <c r="J69" s="10"/>
      <c r="K69" s="143"/>
      <c r="L69" s="8"/>
      <c r="M69" s="8">
        <f t="shared" si="22"/>
        <v>0</v>
      </c>
      <c r="N69" s="11"/>
      <c r="O69" s="10"/>
      <c r="P69" s="143"/>
      <c r="Q69" s="8"/>
      <c r="R69" s="8">
        <f t="shared" si="37"/>
        <v>0</v>
      </c>
      <c r="S69" s="11"/>
      <c r="T69" s="10"/>
      <c r="U69" s="143">
        <v>10</v>
      </c>
      <c r="V69" s="8">
        <v>1.39</v>
      </c>
      <c r="W69" s="8">
        <f t="shared" si="23"/>
        <v>13.899999999999999</v>
      </c>
      <c r="X69" s="11" t="s">
        <v>250</v>
      </c>
      <c r="Y69" s="10"/>
      <c r="Z69" s="15"/>
      <c r="AA69" s="8"/>
      <c r="AB69" s="8">
        <f t="shared" si="24"/>
        <v>0</v>
      </c>
      <c r="AC69" s="11"/>
      <c r="AD69" s="10"/>
      <c r="AE69" s="15"/>
      <c r="AF69" s="8"/>
      <c r="AG69" s="8">
        <f t="shared" si="25"/>
        <v>0</v>
      </c>
      <c r="AH69" s="11"/>
      <c r="AI69" s="10"/>
      <c r="AJ69" s="8">
        <f t="shared" si="26"/>
        <v>1.39</v>
      </c>
      <c r="AK69" s="8">
        <f t="shared" si="27"/>
        <v>13.899999999999999</v>
      </c>
      <c r="AL69" s="12"/>
      <c r="AM69" s="1"/>
      <c r="AN69" s="8">
        <f t="shared" si="28"/>
        <v>1.39</v>
      </c>
      <c r="AO69" s="8">
        <f t="shared" si="29"/>
        <v>13.899999999999999</v>
      </c>
      <c r="AP69" s="13" t="str">
        <f t="shared" si="30"/>
        <v>AMPLA</v>
      </c>
      <c r="AQ69" s="1"/>
      <c r="AR69" s="14" t="b">
        <f t="shared" si="31"/>
        <v>0</v>
      </c>
      <c r="AS69" s="14" t="b">
        <f t="shared" si="32"/>
        <v>0</v>
      </c>
      <c r="AT69" s="14" t="b">
        <f t="shared" si="33"/>
        <v>0</v>
      </c>
      <c r="AU69" s="14">
        <f t="shared" si="34"/>
        <v>1.39</v>
      </c>
      <c r="AV69" s="14" t="b">
        <f t="shared" si="35"/>
        <v>0</v>
      </c>
      <c r="AW69" s="14" t="b">
        <f t="shared" si="36"/>
        <v>0</v>
      </c>
    </row>
    <row r="70" spans="1:49" ht="15.6" x14ac:dyDescent="0.3">
      <c r="A70" s="54">
        <v>56</v>
      </c>
      <c r="B70" s="175" t="s">
        <v>234</v>
      </c>
      <c r="C70" s="56">
        <v>10</v>
      </c>
      <c r="D70" s="152" t="s">
        <v>8</v>
      </c>
      <c r="E70" s="145"/>
      <c r="F70" s="143">
        <v>10</v>
      </c>
      <c r="G70" s="8"/>
      <c r="H70" s="8">
        <f t="shared" si="21"/>
        <v>0</v>
      </c>
      <c r="I70" s="11"/>
      <c r="J70" s="10"/>
      <c r="K70" s="143"/>
      <c r="L70" s="8"/>
      <c r="M70" s="8">
        <f t="shared" si="22"/>
        <v>0</v>
      </c>
      <c r="N70" s="11"/>
      <c r="O70" s="10"/>
      <c r="P70" s="143"/>
      <c r="Q70" s="8"/>
      <c r="R70" s="8">
        <f t="shared" si="37"/>
        <v>0</v>
      </c>
      <c r="S70" s="11"/>
      <c r="T70" s="10"/>
      <c r="U70" s="143">
        <v>10</v>
      </c>
      <c r="V70" s="8">
        <v>1.39</v>
      </c>
      <c r="W70" s="8">
        <f t="shared" si="23"/>
        <v>13.899999999999999</v>
      </c>
      <c r="X70" s="11" t="s">
        <v>250</v>
      </c>
      <c r="Y70" s="10"/>
      <c r="Z70" s="15"/>
      <c r="AA70" s="8"/>
      <c r="AB70" s="8">
        <f t="shared" si="24"/>
        <v>0</v>
      </c>
      <c r="AC70" s="11"/>
      <c r="AD70" s="10"/>
      <c r="AE70" s="15"/>
      <c r="AF70" s="8"/>
      <c r="AG70" s="8">
        <f t="shared" si="25"/>
        <v>0</v>
      </c>
      <c r="AH70" s="11"/>
      <c r="AI70" s="10"/>
      <c r="AJ70" s="8">
        <f t="shared" si="26"/>
        <v>1.39</v>
      </c>
      <c r="AK70" s="8">
        <f t="shared" si="27"/>
        <v>13.899999999999999</v>
      </c>
      <c r="AL70" s="12"/>
      <c r="AM70" s="1"/>
      <c r="AN70" s="8">
        <f t="shared" si="28"/>
        <v>1.39</v>
      </c>
      <c r="AO70" s="8">
        <f t="shared" si="29"/>
        <v>13.899999999999999</v>
      </c>
      <c r="AP70" s="13" t="str">
        <f t="shared" si="30"/>
        <v>AMPLA</v>
      </c>
      <c r="AQ70" s="1"/>
      <c r="AR70" s="14" t="b">
        <f t="shared" si="31"/>
        <v>0</v>
      </c>
      <c r="AS70" s="14" t="b">
        <f t="shared" si="32"/>
        <v>0</v>
      </c>
      <c r="AT70" s="14" t="b">
        <f t="shared" si="33"/>
        <v>0</v>
      </c>
      <c r="AU70" s="14">
        <f t="shared" si="34"/>
        <v>1.39</v>
      </c>
      <c r="AV70" s="14" t="b">
        <f t="shared" si="35"/>
        <v>0</v>
      </c>
      <c r="AW70" s="14" t="b">
        <f t="shared" si="36"/>
        <v>0</v>
      </c>
    </row>
    <row r="71" spans="1:49" ht="15.6" x14ac:dyDescent="0.3">
      <c r="A71" s="54">
        <v>57</v>
      </c>
      <c r="B71" s="55" t="s">
        <v>246</v>
      </c>
      <c r="C71" s="56">
        <v>1</v>
      </c>
      <c r="D71" s="152" t="s">
        <v>8</v>
      </c>
      <c r="E71" s="145"/>
      <c r="F71" s="143">
        <v>3</v>
      </c>
      <c r="G71" s="8"/>
      <c r="H71" s="8">
        <f t="shared" si="21"/>
        <v>0</v>
      </c>
      <c r="I71" s="11"/>
      <c r="J71" s="10"/>
      <c r="K71" s="143"/>
      <c r="L71" s="8"/>
      <c r="M71" s="8">
        <f t="shared" si="22"/>
        <v>0</v>
      </c>
      <c r="N71" s="11"/>
      <c r="O71" s="10"/>
      <c r="P71" s="143"/>
      <c r="Q71" s="8"/>
      <c r="R71" s="8">
        <f t="shared" si="37"/>
        <v>0</v>
      </c>
      <c r="S71" s="11"/>
      <c r="T71" s="10"/>
      <c r="U71" s="143">
        <v>1</v>
      </c>
      <c r="V71" s="8">
        <v>8.83</v>
      </c>
      <c r="W71" s="8">
        <f t="shared" si="23"/>
        <v>8.83</v>
      </c>
      <c r="X71" s="11" t="s">
        <v>250</v>
      </c>
      <c r="Y71" s="10"/>
      <c r="Z71" s="15"/>
      <c r="AA71" s="8"/>
      <c r="AB71" s="8">
        <f t="shared" si="24"/>
        <v>0</v>
      </c>
      <c r="AC71" s="11"/>
      <c r="AD71" s="10"/>
      <c r="AE71" s="15"/>
      <c r="AF71" s="8"/>
      <c r="AG71" s="8">
        <f t="shared" si="25"/>
        <v>0</v>
      </c>
      <c r="AH71" s="11"/>
      <c r="AI71" s="10"/>
      <c r="AJ71" s="8">
        <f t="shared" si="26"/>
        <v>8.83</v>
      </c>
      <c r="AK71" s="8">
        <f t="shared" si="27"/>
        <v>8.83</v>
      </c>
      <c r="AL71" s="12"/>
      <c r="AM71" s="1"/>
      <c r="AN71" s="8">
        <f t="shared" si="28"/>
        <v>8.83</v>
      </c>
      <c r="AO71" s="8">
        <f t="shared" si="29"/>
        <v>8.83</v>
      </c>
      <c r="AP71" s="13" t="str">
        <f t="shared" si="30"/>
        <v>AMPLA</v>
      </c>
      <c r="AQ71" s="1"/>
      <c r="AR71" s="14" t="b">
        <f t="shared" si="31"/>
        <v>0</v>
      </c>
      <c r="AS71" s="14" t="b">
        <f t="shared" si="32"/>
        <v>0</v>
      </c>
      <c r="AT71" s="14" t="b">
        <f t="shared" si="33"/>
        <v>0</v>
      </c>
      <c r="AU71" s="14">
        <f t="shared" si="34"/>
        <v>8.83</v>
      </c>
      <c r="AV71" s="14" t="b">
        <f t="shared" si="35"/>
        <v>0</v>
      </c>
      <c r="AW71" s="14" t="b">
        <f t="shared" si="36"/>
        <v>0</v>
      </c>
    </row>
    <row r="72" spans="1:49" ht="15.6" x14ac:dyDescent="0.3">
      <c r="A72" s="54">
        <v>58</v>
      </c>
      <c r="B72" s="55" t="s">
        <v>248</v>
      </c>
      <c r="C72" s="56">
        <v>4</v>
      </c>
      <c r="D72" s="152" t="s">
        <v>8</v>
      </c>
      <c r="E72" s="145"/>
      <c r="F72" s="143">
        <v>3</v>
      </c>
      <c r="G72" s="8"/>
      <c r="H72" s="8">
        <f t="shared" si="21"/>
        <v>0</v>
      </c>
      <c r="I72" s="11"/>
      <c r="J72" s="10"/>
      <c r="K72" s="143"/>
      <c r="L72" s="8"/>
      <c r="M72" s="8">
        <f t="shared" si="22"/>
        <v>0</v>
      </c>
      <c r="N72" s="11"/>
      <c r="O72" s="10"/>
      <c r="P72" s="143"/>
      <c r="Q72" s="8"/>
      <c r="R72" s="8">
        <f t="shared" si="37"/>
        <v>0</v>
      </c>
      <c r="S72" s="11"/>
      <c r="T72" s="10"/>
      <c r="U72" s="143">
        <v>4</v>
      </c>
      <c r="V72" s="8"/>
      <c r="W72" s="8">
        <f t="shared" si="23"/>
        <v>0</v>
      </c>
      <c r="X72" s="11"/>
      <c r="Y72" s="10"/>
      <c r="Z72" s="15"/>
      <c r="AA72" s="8"/>
      <c r="AB72" s="8">
        <f t="shared" si="24"/>
        <v>0</v>
      </c>
      <c r="AC72" s="11"/>
      <c r="AD72" s="10"/>
      <c r="AE72" s="15"/>
      <c r="AF72" s="8"/>
      <c r="AG72" s="8">
        <f t="shared" si="25"/>
        <v>0</v>
      </c>
      <c r="AH72" s="11"/>
      <c r="AI72" s="10"/>
      <c r="AJ72" s="8">
        <f t="shared" si="26"/>
        <v>0</v>
      </c>
      <c r="AK72" s="8">
        <f t="shared" si="27"/>
        <v>0</v>
      </c>
      <c r="AL72" s="12"/>
      <c r="AM72" s="1"/>
      <c r="AN72" s="8">
        <f t="shared" si="28"/>
        <v>0</v>
      </c>
      <c r="AO72" s="8">
        <f t="shared" si="29"/>
        <v>0</v>
      </c>
      <c r="AP72" s="13" t="str">
        <f t="shared" si="30"/>
        <v/>
      </c>
      <c r="AQ72" s="1"/>
      <c r="AR72" s="14" t="b">
        <f t="shared" si="31"/>
        <v>0</v>
      </c>
      <c r="AS72" s="14" t="b">
        <f t="shared" si="32"/>
        <v>0</v>
      </c>
      <c r="AT72" s="14" t="b">
        <f t="shared" si="33"/>
        <v>0</v>
      </c>
      <c r="AU72" s="14" t="b">
        <f t="shared" si="34"/>
        <v>0</v>
      </c>
      <c r="AV72" s="14" t="b">
        <f t="shared" si="35"/>
        <v>0</v>
      </c>
      <c r="AW72" s="14" t="b">
        <f t="shared" si="36"/>
        <v>0</v>
      </c>
    </row>
    <row r="73" spans="1:49" ht="15.6" x14ac:dyDescent="0.3">
      <c r="A73" s="54">
        <v>59</v>
      </c>
      <c r="B73" s="55" t="s">
        <v>247</v>
      </c>
      <c r="C73" s="56">
        <v>2</v>
      </c>
      <c r="D73" s="152" t="s">
        <v>53</v>
      </c>
      <c r="E73" s="145"/>
      <c r="F73" s="143">
        <v>3</v>
      </c>
      <c r="G73" s="8">
        <v>87</v>
      </c>
      <c r="H73" s="8">
        <f t="shared" si="21"/>
        <v>261</v>
      </c>
      <c r="I73" s="11"/>
      <c r="J73" s="10"/>
      <c r="K73" s="143"/>
      <c r="L73" s="8"/>
      <c r="M73" s="8">
        <f t="shared" si="22"/>
        <v>0</v>
      </c>
      <c r="N73" s="11"/>
      <c r="O73" s="10"/>
      <c r="P73" s="143"/>
      <c r="Q73" s="8"/>
      <c r="R73" s="8">
        <f t="shared" si="37"/>
        <v>0</v>
      </c>
      <c r="S73" s="11"/>
      <c r="T73" s="10"/>
      <c r="U73" s="143">
        <v>2</v>
      </c>
      <c r="V73" s="8">
        <v>45.5</v>
      </c>
      <c r="W73" s="8">
        <f t="shared" si="23"/>
        <v>91</v>
      </c>
      <c r="X73" s="11" t="s">
        <v>250</v>
      </c>
      <c r="Y73" s="10"/>
      <c r="Z73" s="15"/>
      <c r="AA73" s="8"/>
      <c r="AB73" s="8">
        <f t="shared" si="24"/>
        <v>0</v>
      </c>
      <c r="AC73" s="11"/>
      <c r="AD73" s="10"/>
      <c r="AE73" s="15"/>
      <c r="AF73" s="8"/>
      <c r="AG73" s="8">
        <f t="shared" si="25"/>
        <v>0</v>
      </c>
      <c r="AH73" s="11"/>
      <c r="AI73" s="10"/>
      <c r="AJ73" s="8">
        <f t="shared" si="26"/>
        <v>45.5</v>
      </c>
      <c r="AK73" s="8">
        <f t="shared" si="27"/>
        <v>91</v>
      </c>
      <c r="AL73" s="12"/>
      <c r="AM73" s="1"/>
      <c r="AN73" s="8">
        <f t="shared" si="28"/>
        <v>45.5</v>
      </c>
      <c r="AO73" s="8">
        <f t="shared" si="29"/>
        <v>91</v>
      </c>
      <c r="AP73" s="13" t="str">
        <f t="shared" si="30"/>
        <v>AMPLA</v>
      </c>
      <c r="AQ73" s="1"/>
      <c r="AR73" s="14">
        <f t="shared" si="31"/>
        <v>87</v>
      </c>
      <c r="AS73" s="14" t="b">
        <f t="shared" si="32"/>
        <v>0</v>
      </c>
      <c r="AT73" s="14" t="b">
        <f t="shared" si="33"/>
        <v>0</v>
      </c>
      <c r="AU73" s="14">
        <f t="shared" si="34"/>
        <v>45.5</v>
      </c>
      <c r="AV73" s="14" t="b">
        <f t="shared" si="35"/>
        <v>0</v>
      </c>
      <c r="AW73" s="14" t="b">
        <f t="shared" si="36"/>
        <v>0</v>
      </c>
    </row>
    <row r="74" spans="1:49" ht="15.6" x14ac:dyDescent="0.3">
      <c r="A74" s="54">
        <v>60</v>
      </c>
      <c r="B74" s="55"/>
      <c r="C74" s="56"/>
      <c r="D74" s="68"/>
      <c r="E74" s="145"/>
      <c r="F74" s="143"/>
      <c r="G74" s="8"/>
      <c r="H74" s="8">
        <f t="shared" si="21"/>
        <v>0</v>
      </c>
      <c r="I74" s="11"/>
      <c r="J74" s="10"/>
      <c r="K74" s="143"/>
      <c r="L74" s="8"/>
      <c r="M74" s="8">
        <f t="shared" si="22"/>
        <v>0</v>
      </c>
      <c r="N74" s="11"/>
      <c r="O74" s="10"/>
      <c r="P74" s="143"/>
      <c r="Q74" s="8"/>
      <c r="R74" s="8">
        <f t="shared" si="37"/>
        <v>0</v>
      </c>
      <c r="S74" s="11"/>
      <c r="T74" s="10"/>
      <c r="U74" s="143"/>
      <c r="V74" s="8"/>
      <c r="W74" s="8">
        <f t="shared" si="23"/>
        <v>0</v>
      </c>
      <c r="X74" s="11"/>
      <c r="Y74" s="10"/>
      <c r="Z74" s="15"/>
      <c r="AA74" s="8"/>
      <c r="AB74" s="8">
        <f t="shared" si="24"/>
        <v>0</v>
      </c>
      <c r="AC74" s="11"/>
      <c r="AD74" s="10"/>
      <c r="AE74" s="15"/>
      <c r="AF74" s="8"/>
      <c r="AG74" s="8">
        <f t="shared" si="25"/>
        <v>0</v>
      </c>
      <c r="AH74" s="11"/>
      <c r="AI74" s="10"/>
      <c r="AJ74" s="8">
        <f t="shared" si="26"/>
        <v>0</v>
      </c>
      <c r="AK74" s="8">
        <f t="shared" si="27"/>
        <v>0</v>
      </c>
      <c r="AL74" s="12"/>
      <c r="AM74" s="1"/>
      <c r="AN74" s="8">
        <f t="shared" si="28"/>
        <v>0</v>
      </c>
      <c r="AO74" s="8">
        <f t="shared" si="29"/>
        <v>0</v>
      </c>
      <c r="AP74" s="13" t="str">
        <f t="shared" si="30"/>
        <v/>
      </c>
      <c r="AQ74" s="1"/>
      <c r="AR74" s="14" t="b">
        <f t="shared" si="31"/>
        <v>0</v>
      </c>
      <c r="AS74" s="14" t="b">
        <f t="shared" si="32"/>
        <v>0</v>
      </c>
      <c r="AT74" s="14" t="b">
        <f t="shared" si="33"/>
        <v>0</v>
      </c>
      <c r="AU74" s="14" t="b">
        <f t="shared" si="34"/>
        <v>0</v>
      </c>
      <c r="AV74" s="14" t="b">
        <f t="shared" si="35"/>
        <v>0</v>
      </c>
      <c r="AW74" s="14" t="b">
        <f t="shared" si="36"/>
        <v>0</v>
      </c>
    </row>
    <row r="75" spans="1:49" ht="15.6" x14ac:dyDescent="0.3">
      <c r="A75" s="54">
        <v>61</v>
      </c>
      <c r="B75" s="55"/>
      <c r="C75" s="56"/>
      <c r="D75" s="68"/>
      <c r="E75" s="145"/>
      <c r="F75" s="143"/>
      <c r="G75" s="8"/>
      <c r="H75" s="8">
        <f t="shared" si="21"/>
        <v>0</v>
      </c>
      <c r="I75" s="11"/>
      <c r="J75" s="10"/>
      <c r="K75" s="143"/>
      <c r="L75" s="8"/>
      <c r="M75" s="8">
        <f t="shared" si="22"/>
        <v>0</v>
      </c>
      <c r="N75" s="11"/>
      <c r="O75" s="10"/>
      <c r="P75" s="143"/>
      <c r="Q75" s="8"/>
      <c r="R75" s="8">
        <f t="shared" si="37"/>
        <v>0</v>
      </c>
      <c r="S75" s="11"/>
      <c r="T75" s="10"/>
      <c r="U75" s="143"/>
      <c r="V75" s="8"/>
      <c r="W75" s="8">
        <f t="shared" si="23"/>
        <v>0</v>
      </c>
      <c r="X75" s="11"/>
      <c r="Y75" s="10"/>
      <c r="Z75" s="15"/>
      <c r="AA75" s="8"/>
      <c r="AB75" s="8">
        <f t="shared" si="24"/>
        <v>0</v>
      </c>
      <c r="AC75" s="11"/>
      <c r="AD75" s="10"/>
      <c r="AE75" s="15"/>
      <c r="AF75" s="8"/>
      <c r="AG75" s="8">
        <f t="shared" si="25"/>
        <v>0</v>
      </c>
      <c r="AH75" s="11"/>
      <c r="AI75" s="10"/>
      <c r="AJ75" s="8">
        <f t="shared" si="26"/>
        <v>0</v>
      </c>
      <c r="AK75" s="8">
        <f t="shared" si="27"/>
        <v>0</v>
      </c>
      <c r="AL75" s="12"/>
      <c r="AM75" s="1"/>
      <c r="AN75" s="8">
        <f t="shared" si="28"/>
        <v>0</v>
      </c>
      <c r="AO75" s="8">
        <f t="shared" si="29"/>
        <v>0</v>
      </c>
      <c r="AP75" s="13" t="str">
        <f t="shared" si="30"/>
        <v/>
      </c>
      <c r="AQ75" s="1"/>
      <c r="AR75" s="14" t="b">
        <f t="shared" si="31"/>
        <v>0</v>
      </c>
      <c r="AS75" s="14" t="b">
        <f t="shared" si="32"/>
        <v>0</v>
      </c>
      <c r="AT75" s="14" t="b">
        <f t="shared" si="33"/>
        <v>0</v>
      </c>
      <c r="AU75" s="14" t="b">
        <f t="shared" si="34"/>
        <v>0</v>
      </c>
      <c r="AV75" s="14" t="b">
        <f t="shared" si="35"/>
        <v>0</v>
      </c>
      <c r="AW75" s="14" t="b">
        <f t="shared" si="36"/>
        <v>0</v>
      </c>
    </row>
    <row r="76" spans="1:49" ht="15.6" x14ac:dyDescent="0.3">
      <c r="A76" s="54">
        <v>62</v>
      </c>
      <c r="B76" s="55"/>
      <c r="C76" s="56"/>
      <c r="D76" s="68"/>
      <c r="E76" s="145"/>
      <c r="F76" s="143"/>
      <c r="G76" s="8"/>
      <c r="H76" s="8">
        <f t="shared" si="21"/>
        <v>0</v>
      </c>
      <c r="I76" s="11"/>
      <c r="J76" s="10"/>
      <c r="K76" s="143"/>
      <c r="L76" s="8"/>
      <c r="M76" s="8">
        <f t="shared" si="22"/>
        <v>0</v>
      </c>
      <c r="N76" s="11"/>
      <c r="O76" s="10"/>
      <c r="P76" s="143"/>
      <c r="Q76" s="8"/>
      <c r="R76" s="8">
        <f t="shared" si="37"/>
        <v>0</v>
      </c>
      <c r="S76" s="11"/>
      <c r="T76" s="10"/>
      <c r="U76" s="143"/>
      <c r="V76" s="8"/>
      <c r="W76" s="8">
        <f t="shared" si="23"/>
        <v>0</v>
      </c>
      <c r="X76" s="11"/>
      <c r="Y76" s="10"/>
      <c r="Z76" s="15"/>
      <c r="AA76" s="8"/>
      <c r="AB76" s="8">
        <f t="shared" si="24"/>
        <v>0</v>
      </c>
      <c r="AC76" s="11"/>
      <c r="AD76" s="10"/>
      <c r="AE76" s="15"/>
      <c r="AF76" s="8"/>
      <c r="AG76" s="8">
        <f t="shared" si="25"/>
        <v>0</v>
      </c>
      <c r="AH76" s="11"/>
      <c r="AI76" s="10"/>
      <c r="AJ76" s="8">
        <f t="shared" si="26"/>
        <v>0</v>
      </c>
      <c r="AK76" s="8">
        <f t="shared" si="27"/>
        <v>0</v>
      </c>
      <c r="AL76" s="12"/>
      <c r="AM76" s="1"/>
      <c r="AN76" s="8">
        <f t="shared" si="28"/>
        <v>0</v>
      </c>
      <c r="AO76" s="8">
        <f t="shared" si="29"/>
        <v>0</v>
      </c>
      <c r="AP76" s="13" t="str">
        <f t="shared" si="30"/>
        <v/>
      </c>
      <c r="AQ76" s="1"/>
      <c r="AR76" s="14" t="b">
        <f t="shared" si="31"/>
        <v>0</v>
      </c>
      <c r="AS76" s="14" t="b">
        <f t="shared" si="32"/>
        <v>0</v>
      </c>
      <c r="AT76" s="14" t="b">
        <f t="shared" si="33"/>
        <v>0</v>
      </c>
      <c r="AU76" s="14" t="b">
        <f t="shared" si="34"/>
        <v>0</v>
      </c>
      <c r="AV76" s="14" t="b">
        <f t="shared" si="35"/>
        <v>0</v>
      </c>
      <c r="AW76" s="14" t="b">
        <f t="shared" si="36"/>
        <v>0</v>
      </c>
    </row>
    <row r="77" spans="1:49" ht="15.6" x14ac:dyDescent="0.3">
      <c r="A77" s="54">
        <v>63</v>
      </c>
      <c r="B77" s="55"/>
      <c r="C77" s="56"/>
      <c r="D77" s="68"/>
      <c r="E77" s="145"/>
      <c r="F77" s="143"/>
      <c r="G77" s="8"/>
      <c r="H77" s="8">
        <f t="shared" si="21"/>
        <v>0</v>
      </c>
      <c r="I77" s="11"/>
      <c r="J77" s="10"/>
      <c r="K77" s="143"/>
      <c r="L77" s="8"/>
      <c r="M77" s="8">
        <f t="shared" si="22"/>
        <v>0</v>
      </c>
      <c r="N77" s="11"/>
      <c r="O77" s="10"/>
      <c r="P77" s="143"/>
      <c r="Q77" s="8"/>
      <c r="R77" s="8">
        <f t="shared" si="37"/>
        <v>0</v>
      </c>
      <c r="S77" s="11"/>
      <c r="T77" s="10"/>
      <c r="U77" s="143"/>
      <c r="V77" s="8"/>
      <c r="W77" s="8">
        <f t="shared" si="23"/>
        <v>0</v>
      </c>
      <c r="X77" s="11"/>
      <c r="Y77" s="10"/>
      <c r="Z77" s="15"/>
      <c r="AA77" s="8"/>
      <c r="AB77" s="8">
        <f t="shared" si="24"/>
        <v>0</v>
      </c>
      <c r="AC77" s="11"/>
      <c r="AD77" s="10"/>
      <c r="AE77" s="15"/>
      <c r="AF77" s="8"/>
      <c r="AG77" s="8">
        <f t="shared" si="25"/>
        <v>0</v>
      </c>
      <c r="AH77" s="11"/>
      <c r="AI77" s="10"/>
      <c r="AJ77" s="8">
        <f t="shared" si="26"/>
        <v>0</v>
      </c>
      <c r="AK77" s="8">
        <f t="shared" si="27"/>
        <v>0</v>
      </c>
      <c r="AL77" s="12"/>
      <c r="AM77" s="1"/>
      <c r="AN77" s="8">
        <f t="shared" si="28"/>
        <v>0</v>
      </c>
      <c r="AO77" s="8">
        <f t="shared" si="29"/>
        <v>0</v>
      </c>
      <c r="AP77" s="13" t="str">
        <f t="shared" si="30"/>
        <v/>
      </c>
      <c r="AQ77" s="1"/>
      <c r="AR77" s="14" t="b">
        <f t="shared" si="31"/>
        <v>0</v>
      </c>
      <c r="AS77" s="14" t="b">
        <f t="shared" si="32"/>
        <v>0</v>
      </c>
      <c r="AT77" s="14" t="b">
        <f t="shared" si="33"/>
        <v>0</v>
      </c>
      <c r="AU77" s="14" t="b">
        <f t="shared" si="34"/>
        <v>0</v>
      </c>
      <c r="AV77" s="14" t="b">
        <f t="shared" si="35"/>
        <v>0</v>
      </c>
      <c r="AW77" s="14" t="b">
        <f t="shared" si="36"/>
        <v>0</v>
      </c>
    </row>
    <row r="78" spans="1:49" ht="15.6" x14ac:dyDescent="0.3">
      <c r="A78" s="54">
        <v>64</v>
      </c>
      <c r="B78" s="55"/>
      <c r="C78" s="56"/>
      <c r="D78" s="68"/>
      <c r="E78" s="145"/>
      <c r="F78" s="143"/>
      <c r="G78" s="8"/>
      <c r="H78" s="8">
        <f t="shared" si="21"/>
        <v>0</v>
      </c>
      <c r="I78" s="11"/>
      <c r="J78" s="10"/>
      <c r="K78" s="143"/>
      <c r="L78" s="8"/>
      <c r="M78" s="8">
        <f t="shared" si="22"/>
        <v>0</v>
      </c>
      <c r="N78" s="11"/>
      <c r="O78" s="10"/>
      <c r="P78" s="143"/>
      <c r="Q78" s="8"/>
      <c r="R78" s="8">
        <f t="shared" si="37"/>
        <v>0</v>
      </c>
      <c r="S78" s="11"/>
      <c r="T78" s="10"/>
      <c r="U78" s="143"/>
      <c r="V78" s="8"/>
      <c r="W78" s="8">
        <f t="shared" si="23"/>
        <v>0</v>
      </c>
      <c r="X78" s="11"/>
      <c r="Y78" s="10"/>
      <c r="Z78" s="15"/>
      <c r="AA78" s="8"/>
      <c r="AB78" s="8">
        <f t="shared" si="24"/>
        <v>0</v>
      </c>
      <c r="AC78" s="11"/>
      <c r="AD78" s="10"/>
      <c r="AE78" s="15"/>
      <c r="AF78" s="8"/>
      <c r="AG78" s="8">
        <f t="shared" si="25"/>
        <v>0</v>
      </c>
      <c r="AH78" s="11"/>
      <c r="AI78" s="10"/>
      <c r="AJ78" s="8">
        <f t="shared" si="26"/>
        <v>0</v>
      </c>
      <c r="AK78" s="8">
        <f t="shared" si="27"/>
        <v>0</v>
      </c>
      <c r="AL78" s="12"/>
      <c r="AM78" s="1"/>
      <c r="AN78" s="8">
        <f t="shared" si="28"/>
        <v>0</v>
      </c>
      <c r="AO78" s="8">
        <f t="shared" si="29"/>
        <v>0</v>
      </c>
      <c r="AP78" s="13" t="str">
        <f t="shared" si="30"/>
        <v/>
      </c>
      <c r="AQ78" s="1"/>
      <c r="AR78" s="14" t="b">
        <f t="shared" si="31"/>
        <v>0</v>
      </c>
      <c r="AS78" s="14" t="b">
        <f t="shared" si="32"/>
        <v>0</v>
      </c>
      <c r="AT78" s="14" t="b">
        <f t="shared" si="33"/>
        <v>0</v>
      </c>
      <c r="AU78" s="14" t="b">
        <f t="shared" si="34"/>
        <v>0</v>
      </c>
      <c r="AV78" s="14" t="b">
        <f t="shared" si="35"/>
        <v>0</v>
      </c>
      <c r="AW78" s="14" t="b">
        <f t="shared" si="36"/>
        <v>0</v>
      </c>
    </row>
    <row r="79" spans="1:49" ht="15.6" x14ac:dyDescent="0.3">
      <c r="A79" s="54">
        <v>65</v>
      </c>
      <c r="B79" s="55"/>
      <c r="C79" s="56"/>
      <c r="D79" s="68"/>
      <c r="E79" s="145"/>
      <c r="F79" s="143"/>
      <c r="G79" s="8"/>
      <c r="H79" s="8">
        <f t="shared" ref="H79:H110" si="38">F79*G79</f>
        <v>0</v>
      </c>
      <c r="I79" s="11"/>
      <c r="J79" s="10"/>
      <c r="K79" s="143"/>
      <c r="L79" s="8"/>
      <c r="M79" s="8">
        <f t="shared" ref="M79:M110" si="39">K79*L79</f>
        <v>0</v>
      </c>
      <c r="N79" s="11"/>
      <c r="O79" s="10"/>
      <c r="P79" s="143"/>
      <c r="Q79" s="8"/>
      <c r="R79" s="8">
        <f t="shared" si="37"/>
        <v>0</v>
      </c>
      <c r="S79" s="11"/>
      <c r="T79" s="10"/>
      <c r="U79" s="143"/>
      <c r="V79" s="8"/>
      <c r="W79" s="8">
        <f t="shared" ref="W79:W110" si="40">U79*V79</f>
        <v>0</v>
      </c>
      <c r="X79" s="11"/>
      <c r="Y79" s="10"/>
      <c r="Z79" s="15"/>
      <c r="AA79" s="8"/>
      <c r="AB79" s="8">
        <f t="shared" ref="AB79:AB110" si="41">Z79*AA79</f>
        <v>0</v>
      </c>
      <c r="AC79" s="11"/>
      <c r="AD79" s="10"/>
      <c r="AE79" s="15"/>
      <c r="AF79" s="8"/>
      <c r="AG79" s="8">
        <f t="shared" ref="AG79:AG110" si="42">AE79*AF79</f>
        <v>0</v>
      </c>
      <c r="AH79" s="11"/>
      <c r="AI79" s="10"/>
      <c r="AJ79" s="8">
        <f t="shared" ref="AJ79:AJ114" si="43">MIN(AR79:AW79)</f>
        <v>0</v>
      </c>
      <c r="AK79" s="8">
        <f t="shared" ref="AK79:AK110" si="44">AJ79*C79</f>
        <v>0</v>
      </c>
      <c r="AL79" s="12"/>
      <c r="AM79" s="1"/>
      <c r="AN79" s="8">
        <f t="shared" ref="AN79:AN114" si="45">(I79&lt;&gt;"")*G79+(N79&lt;&gt;"")*L79+(S79&lt;&gt;"")*Q79+(X79&lt;&gt;"")*V79+(AC79&lt;&gt;"")*AA79+(AH79&lt;&gt;"")*AF79</f>
        <v>0</v>
      </c>
      <c r="AO79" s="8">
        <f t="shared" ref="AO79:AO110" si="46">AN79*C79</f>
        <v>0</v>
      </c>
      <c r="AP79" s="13" t="str">
        <f t="shared" ref="AP79:AP114" si="47">IFERROR(INDEX($F$13:$AI$114,1,MATCH("X",F79:AI79,0)-3),"")</f>
        <v/>
      </c>
      <c r="AQ79" s="1"/>
      <c r="AR79" s="14" t="b">
        <f t="shared" ref="AR79:AR114" si="48">IF(G79&gt;0,G79)</f>
        <v>0</v>
      </c>
      <c r="AS79" s="14" t="b">
        <f t="shared" ref="AS79:AS114" si="49">IF(L79&gt;0,L79)</f>
        <v>0</v>
      </c>
      <c r="AT79" s="14" t="b">
        <f t="shared" ref="AT79:AT114" si="50">IF(Q79&gt;0,Q79)</f>
        <v>0</v>
      </c>
      <c r="AU79" s="14" t="b">
        <f t="shared" ref="AU79:AU114" si="51">IF(V79&gt;0,V79)</f>
        <v>0</v>
      </c>
      <c r="AV79" s="14" t="b">
        <f t="shared" ref="AV79:AV114" si="52">IF(AA79&gt;0,AA79)</f>
        <v>0</v>
      </c>
      <c r="AW79" s="14" t="b">
        <f t="shared" ref="AW79:AW114" si="53">IF(AF79&gt;0,AF79)</f>
        <v>0</v>
      </c>
    </row>
    <row r="80" spans="1:49" ht="15.6" x14ac:dyDescent="0.3">
      <c r="A80" s="54">
        <v>66</v>
      </c>
      <c r="B80" s="55"/>
      <c r="C80" s="56"/>
      <c r="D80" s="68"/>
      <c r="E80" s="145"/>
      <c r="F80" s="143"/>
      <c r="G80" s="8"/>
      <c r="H80" s="8">
        <f t="shared" si="38"/>
        <v>0</v>
      </c>
      <c r="I80" s="11"/>
      <c r="J80" s="10"/>
      <c r="K80" s="143"/>
      <c r="L80" s="8"/>
      <c r="M80" s="8">
        <f t="shared" si="39"/>
        <v>0</v>
      </c>
      <c r="N80" s="11"/>
      <c r="O80" s="10"/>
      <c r="P80" s="143"/>
      <c r="Q80" s="8"/>
      <c r="R80" s="8">
        <f t="shared" ref="R80:R111" si="54">P80*Q80</f>
        <v>0</v>
      </c>
      <c r="S80" s="11"/>
      <c r="T80" s="10"/>
      <c r="U80" s="143"/>
      <c r="V80" s="8"/>
      <c r="W80" s="8">
        <f t="shared" si="40"/>
        <v>0</v>
      </c>
      <c r="X80" s="11"/>
      <c r="Y80" s="10"/>
      <c r="Z80" s="15"/>
      <c r="AA80" s="8"/>
      <c r="AB80" s="8">
        <f t="shared" si="41"/>
        <v>0</v>
      </c>
      <c r="AC80" s="11"/>
      <c r="AD80" s="10"/>
      <c r="AE80" s="15"/>
      <c r="AF80" s="8"/>
      <c r="AG80" s="8">
        <f t="shared" si="42"/>
        <v>0</v>
      </c>
      <c r="AH80" s="11"/>
      <c r="AI80" s="10"/>
      <c r="AJ80" s="8">
        <f t="shared" si="43"/>
        <v>0</v>
      </c>
      <c r="AK80" s="8">
        <f t="shared" si="44"/>
        <v>0</v>
      </c>
      <c r="AL80" s="12"/>
      <c r="AM80" s="1"/>
      <c r="AN80" s="8">
        <f t="shared" si="45"/>
        <v>0</v>
      </c>
      <c r="AO80" s="8">
        <f t="shared" si="46"/>
        <v>0</v>
      </c>
      <c r="AP80" s="13" t="str">
        <f t="shared" si="47"/>
        <v/>
      </c>
      <c r="AQ80" s="1"/>
      <c r="AR80" s="14" t="b">
        <f t="shared" si="48"/>
        <v>0</v>
      </c>
      <c r="AS80" s="14" t="b">
        <f t="shared" si="49"/>
        <v>0</v>
      </c>
      <c r="AT80" s="14" t="b">
        <f t="shared" si="50"/>
        <v>0</v>
      </c>
      <c r="AU80" s="14" t="b">
        <f t="shared" si="51"/>
        <v>0</v>
      </c>
      <c r="AV80" s="14" t="b">
        <f t="shared" si="52"/>
        <v>0</v>
      </c>
      <c r="AW80" s="14" t="b">
        <f t="shared" si="53"/>
        <v>0</v>
      </c>
    </row>
    <row r="81" spans="1:49" ht="15.6" x14ac:dyDescent="0.3">
      <c r="A81" s="54">
        <v>67</v>
      </c>
      <c r="B81" s="55"/>
      <c r="C81" s="56"/>
      <c r="D81" s="68"/>
      <c r="E81" s="145"/>
      <c r="F81" s="143"/>
      <c r="G81" s="8"/>
      <c r="H81" s="8">
        <f t="shared" si="38"/>
        <v>0</v>
      </c>
      <c r="I81" s="11"/>
      <c r="J81" s="10"/>
      <c r="K81" s="143"/>
      <c r="L81" s="8"/>
      <c r="M81" s="8">
        <f t="shared" si="39"/>
        <v>0</v>
      </c>
      <c r="N81" s="11"/>
      <c r="O81" s="10"/>
      <c r="P81" s="143"/>
      <c r="Q81" s="8"/>
      <c r="R81" s="8">
        <f t="shared" si="54"/>
        <v>0</v>
      </c>
      <c r="S81" s="11"/>
      <c r="T81" s="10"/>
      <c r="U81" s="143"/>
      <c r="V81" s="8"/>
      <c r="W81" s="8">
        <f t="shared" si="40"/>
        <v>0</v>
      </c>
      <c r="X81" s="11"/>
      <c r="Y81" s="10"/>
      <c r="Z81" s="15"/>
      <c r="AA81" s="8"/>
      <c r="AB81" s="8">
        <f t="shared" si="41"/>
        <v>0</v>
      </c>
      <c r="AC81" s="11"/>
      <c r="AD81" s="10"/>
      <c r="AE81" s="15"/>
      <c r="AF81" s="8"/>
      <c r="AG81" s="8">
        <f t="shared" si="42"/>
        <v>0</v>
      </c>
      <c r="AH81" s="11"/>
      <c r="AI81" s="10"/>
      <c r="AJ81" s="8">
        <f t="shared" si="43"/>
        <v>0</v>
      </c>
      <c r="AK81" s="8">
        <f t="shared" si="44"/>
        <v>0</v>
      </c>
      <c r="AL81" s="12"/>
      <c r="AM81" s="1"/>
      <c r="AN81" s="8">
        <f t="shared" si="45"/>
        <v>0</v>
      </c>
      <c r="AO81" s="8">
        <f t="shared" si="46"/>
        <v>0</v>
      </c>
      <c r="AP81" s="13" t="str">
        <f t="shared" si="47"/>
        <v/>
      </c>
      <c r="AQ81" s="1"/>
      <c r="AR81" s="14" t="b">
        <f t="shared" si="48"/>
        <v>0</v>
      </c>
      <c r="AS81" s="14" t="b">
        <f t="shared" si="49"/>
        <v>0</v>
      </c>
      <c r="AT81" s="14" t="b">
        <f t="shared" si="50"/>
        <v>0</v>
      </c>
      <c r="AU81" s="14" t="b">
        <f t="shared" si="51"/>
        <v>0</v>
      </c>
      <c r="AV81" s="14" t="b">
        <f t="shared" si="52"/>
        <v>0</v>
      </c>
      <c r="AW81" s="14" t="b">
        <f t="shared" si="53"/>
        <v>0</v>
      </c>
    </row>
    <row r="82" spans="1:49" ht="15.6" x14ac:dyDescent="0.3">
      <c r="A82" s="54">
        <v>68</v>
      </c>
      <c r="B82" s="55"/>
      <c r="C82" s="56"/>
      <c r="D82" s="68"/>
      <c r="E82" s="145"/>
      <c r="F82" s="143"/>
      <c r="G82" s="8"/>
      <c r="H82" s="8">
        <f t="shared" si="38"/>
        <v>0</v>
      </c>
      <c r="I82" s="11"/>
      <c r="J82" s="10"/>
      <c r="K82" s="143"/>
      <c r="L82" s="8"/>
      <c r="M82" s="8">
        <f t="shared" si="39"/>
        <v>0</v>
      </c>
      <c r="N82" s="11"/>
      <c r="O82" s="10"/>
      <c r="P82" s="143"/>
      <c r="Q82" s="8"/>
      <c r="R82" s="8">
        <f t="shared" si="54"/>
        <v>0</v>
      </c>
      <c r="S82" s="11"/>
      <c r="T82" s="10"/>
      <c r="U82" s="143"/>
      <c r="V82" s="8"/>
      <c r="W82" s="8">
        <f t="shared" si="40"/>
        <v>0</v>
      </c>
      <c r="X82" s="11"/>
      <c r="Y82" s="10"/>
      <c r="Z82" s="15"/>
      <c r="AA82" s="8"/>
      <c r="AB82" s="8">
        <f t="shared" si="41"/>
        <v>0</v>
      </c>
      <c r="AC82" s="11"/>
      <c r="AD82" s="10"/>
      <c r="AE82" s="15"/>
      <c r="AF82" s="8"/>
      <c r="AG82" s="8">
        <f t="shared" si="42"/>
        <v>0</v>
      </c>
      <c r="AH82" s="11"/>
      <c r="AI82" s="10"/>
      <c r="AJ82" s="8">
        <f t="shared" si="43"/>
        <v>0</v>
      </c>
      <c r="AK82" s="8">
        <f t="shared" si="44"/>
        <v>0</v>
      </c>
      <c r="AL82" s="12"/>
      <c r="AM82" s="1"/>
      <c r="AN82" s="8">
        <f t="shared" si="45"/>
        <v>0</v>
      </c>
      <c r="AO82" s="8">
        <f t="shared" si="46"/>
        <v>0</v>
      </c>
      <c r="AP82" s="13" t="str">
        <f t="shared" si="47"/>
        <v/>
      </c>
      <c r="AQ82" s="1"/>
      <c r="AR82" s="14" t="b">
        <f t="shared" si="48"/>
        <v>0</v>
      </c>
      <c r="AS82" s="14" t="b">
        <f t="shared" si="49"/>
        <v>0</v>
      </c>
      <c r="AT82" s="14" t="b">
        <f t="shared" si="50"/>
        <v>0</v>
      </c>
      <c r="AU82" s="14" t="b">
        <f t="shared" si="51"/>
        <v>0</v>
      </c>
      <c r="AV82" s="14" t="b">
        <f t="shared" si="52"/>
        <v>0</v>
      </c>
      <c r="AW82" s="14" t="b">
        <f t="shared" si="53"/>
        <v>0</v>
      </c>
    </row>
    <row r="83" spans="1:49" ht="15.6" x14ac:dyDescent="0.3">
      <c r="A83" s="54">
        <v>69</v>
      </c>
      <c r="B83" s="55"/>
      <c r="C83" s="56"/>
      <c r="D83" s="68"/>
      <c r="E83" s="145"/>
      <c r="F83" s="143"/>
      <c r="G83" s="8"/>
      <c r="H83" s="8">
        <f t="shared" si="38"/>
        <v>0</v>
      </c>
      <c r="I83" s="11"/>
      <c r="J83" s="10"/>
      <c r="K83" s="143"/>
      <c r="L83" s="8"/>
      <c r="M83" s="8">
        <f t="shared" si="39"/>
        <v>0</v>
      </c>
      <c r="N83" s="11"/>
      <c r="O83" s="10"/>
      <c r="P83" s="143"/>
      <c r="Q83" s="8"/>
      <c r="R83" s="8">
        <f t="shared" si="54"/>
        <v>0</v>
      </c>
      <c r="S83" s="11"/>
      <c r="T83" s="10"/>
      <c r="U83" s="143"/>
      <c r="V83" s="8"/>
      <c r="W83" s="8">
        <f t="shared" si="40"/>
        <v>0</v>
      </c>
      <c r="X83" s="11"/>
      <c r="Y83" s="10"/>
      <c r="Z83" s="15"/>
      <c r="AA83" s="8"/>
      <c r="AB83" s="8">
        <f t="shared" si="41"/>
        <v>0</v>
      </c>
      <c r="AC83" s="11"/>
      <c r="AD83" s="10"/>
      <c r="AE83" s="15"/>
      <c r="AF83" s="8"/>
      <c r="AG83" s="8">
        <f t="shared" si="42"/>
        <v>0</v>
      </c>
      <c r="AH83" s="11"/>
      <c r="AI83" s="10"/>
      <c r="AJ83" s="8">
        <f t="shared" si="43"/>
        <v>0</v>
      </c>
      <c r="AK83" s="8">
        <f t="shared" si="44"/>
        <v>0</v>
      </c>
      <c r="AL83" s="12"/>
      <c r="AM83" s="1"/>
      <c r="AN83" s="8">
        <f t="shared" si="45"/>
        <v>0</v>
      </c>
      <c r="AO83" s="8">
        <f t="shared" si="46"/>
        <v>0</v>
      </c>
      <c r="AP83" s="13" t="str">
        <f t="shared" si="47"/>
        <v/>
      </c>
      <c r="AQ83" s="1"/>
      <c r="AR83" s="14" t="b">
        <f t="shared" si="48"/>
        <v>0</v>
      </c>
      <c r="AS83" s="14" t="b">
        <f t="shared" si="49"/>
        <v>0</v>
      </c>
      <c r="AT83" s="14" t="b">
        <f t="shared" si="50"/>
        <v>0</v>
      </c>
      <c r="AU83" s="14" t="b">
        <f t="shared" si="51"/>
        <v>0</v>
      </c>
      <c r="AV83" s="14" t="b">
        <f t="shared" si="52"/>
        <v>0</v>
      </c>
      <c r="AW83" s="14" t="b">
        <f t="shared" si="53"/>
        <v>0</v>
      </c>
    </row>
    <row r="84" spans="1:49" ht="15.6" x14ac:dyDescent="0.3">
      <c r="A84" s="54">
        <v>70</v>
      </c>
      <c r="B84" s="55"/>
      <c r="C84" s="56"/>
      <c r="D84" s="68"/>
      <c r="E84" s="145"/>
      <c r="F84" s="143"/>
      <c r="G84" s="8"/>
      <c r="H84" s="8">
        <f t="shared" si="38"/>
        <v>0</v>
      </c>
      <c r="I84" s="11"/>
      <c r="J84" s="10"/>
      <c r="K84" s="143"/>
      <c r="L84" s="8"/>
      <c r="M84" s="8">
        <f t="shared" si="39"/>
        <v>0</v>
      </c>
      <c r="N84" s="11"/>
      <c r="O84" s="10"/>
      <c r="P84" s="143"/>
      <c r="Q84" s="8"/>
      <c r="R84" s="8">
        <f t="shared" si="54"/>
        <v>0</v>
      </c>
      <c r="S84" s="11"/>
      <c r="T84" s="10"/>
      <c r="U84" s="143"/>
      <c r="V84" s="8"/>
      <c r="W84" s="8">
        <f t="shared" si="40"/>
        <v>0</v>
      </c>
      <c r="X84" s="11"/>
      <c r="Y84" s="10"/>
      <c r="Z84" s="15"/>
      <c r="AA84" s="8"/>
      <c r="AB84" s="8">
        <f t="shared" si="41"/>
        <v>0</v>
      </c>
      <c r="AC84" s="11"/>
      <c r="AD84" s="10"/>
      <c r="AE84" s="15"/>
      <c r="AF84" s="8"/>
      <c r="AG84" s="8">
        <f t="shared" si="42"/>
        <v>0</v>
      </c>
      <c r="AH84" s="11"/>
      <c r="AI84" s="10"/>
      <c r="AJ84" s="8">
        <f t="shared" si="43"/>
        <v>0</v>
      </c>
      <c r="AK84" s="8">
        <f t="shared" si="44"/>
        <v>0</v>
      </c>
      <c r="AL84" s="12"/>
      <c r="AM84" s="1"/>
      <c r="AN84" s="8">
        <f t="shared" si="45"/>
        <v>0</v>
      </c>
      <c r="AO84" s="8">
        <f t="shared" si="46"/>
        <v>0</v>
      </c>
      <c r="AP84" s="13" t="str">
        <f t="shared" si="47"/>
        <v/>
      </c>
      <c r="AQ84" s="1"/>
      <c r="AR84" s="14" t="b">
        <f t="shared" si="48"/>
        <v>0</v>
      </c>
      <c r="AS84" s="14" t="b">
        <f t="shared" si="49"/>
        <v>0</v>
      </c>
      <c r="AT84" s="14" t="b">
        <f t="shared" si="50"/>
        <v>0</v>
      </c>
      <c r="AU84" s="14" t="b">
        <f t="shared" si="51"/>
        <v>0</v>
      </c>
      <c r="AV84" s="14" t="b">
        <f t="shared" si="52"/>
        <v>0</v>
      </c>
      <c r="AW84" s="14" t="b">
        <f t="shared" si="53"/>
        <v>0</v>
      </c>
    </row>
    <row r="85" spans="1:49" ht="15.6" x14ac:dyDescent="0.3">
      <c r="A85" s="54">
        <v>71</v>
      </c>
      <c r="B85" s="175"/>
      <c r="C85" s="56"/>
      <c r="D85" s="68"/>
      <c r="E85" s="145"/>
      <c r="F85" s="143"/>
      <c r="G85" s="8"/>
      <c r="H85" s="8">
        <f t="shared" si="38"/>
        <v>0</v>
      </c>
      <c r="I85" s="11"/>
      <c r="J85" s="10"/>
      <c r="K85" s="143"/>
      <c r="L85" s="8"/>
      <c r="M85" s="8">
        <f t="shared" si="39"/>
        <v>0</v>
      </c>
      <c r="N85" s="11"/>
      <c r="O85" s="10"/>
      <c r="P85" s="143"/>
      <c r="Q85" s="8"/>
      <c r="R85" s="8">
        <f t="shared" si="54"/>
        <v>0</v>
      </c>
      <c r="S85" s="11"/>
      <c r="T85" s="10"/>
      <c r="U85" s="15"/>
      <c r="V85" s="8"/>
      <c r="W85" s="8">
        <f t="shared" si="40"/>
        <v>0</v>
      </c>
      <c r="X85" s="11"/>
      <c r="Y85" s="10"/>
      <c r="Z85" s="15"/>
      <c r="AA85" s="8"/>
      <c r="AB85" s="8">
        <f t="shared" si="41"/>
        <v>0</v>
      </c>
      <c r="AC85" s="11"/>
      <c r="AD85" s="10"/>
      <c r="AE85" s="15"/>
      <c r="AF85" s="8"/>
      <c r="AG85" s="8">
        <f t="shared" si="42"/>
        <v>0</v>
      </c>
      <c r="AH85" s="11"/>
      <c r="AI85" s="10"/>
      <c r="AJ85" s="8">
        <f t="shared" si="43"/>
        <v>0</v>
      </c>
      <c r="AK85" s="8">
        <f t="shared" si="44"/>
        <v>0</v>
      </c>
      <c r="AL85" s="12"/>
      <c r="AM85" s="1"/>
      <c r="AN85" s="8">
        <f t="shared" si="45"/>
        <v>0</v>
      </c>
      <c r="AO85" s="8">
        <f t="shared" si="46"/>
        <v>0</v>
      </c>
      <c r="AP85" s="13" t="str">
        <f t="shared" si="47"/>
        <v/>
      </c>
      <c r="AQ85" s="1"/>
      <c r="AR85" s="14" t="b">
        <f t="shared" si="48"/>
        <v>0</v>
      </c>
      <c r="AS85" s="14" t="b">
        <f t="shared" si="49"/>
        <v>0</v>
      </c>
      <c r="AT85" s="14" t="b">
        <f t="shared" si="50"/>
        <v>0</v>
      </c>
      <c r="AU85" s="14" t="b">
        <f t="shared" si="51"/>
        <v>0</v>
      </c>
      <c r="AV85" s="14" t="b">
        <f t="shared" si="52"/>
        <v>0</v>
      </c>
      <c r="AW85" s="14" t="b">
        <f t="shared" si="53"/>
        <v>0</v>
      </c>
    </row>
    <row r="86" spans="1:49" ht="15.6" x14ac:dyDescent="0.3">
      <c r="A86" s="54">
        <v>72</v>
      </c>
      <c r="B86" s="55"/>
      <c r="C86" s="56"/>
      <c r="D86" s="68"/>
      <c r="E86" s="145"/>
      <c r="F86" s="143"/>
      <c r="G86" s="8"/>
      <c r="H86" s="8">
        <f t="shared" si="38"/>
        <v>0</v>
      </c>
      <c r="I86" s="11"/>
      <c r="J86" s="10"/>
      <c r="K86" s="143"/>
      <c r="L86" s="8"/>
      <c r="M86" s="8">
        <f t="shared" si="39"/>
        <v>0</v>
      </c>
      <c r="N86" s="11"/>
      <c r="O86" s="10"/>
      <c r="P86" s="15"/>
      <c r="Q86" s="8"/>
      <c r="R86" s="8">
        <f t="shared" si="54"/>
        <v>0</v>
      </c>
      <c r="S86" s="11"/>
      <c r="T86" s="10"/>
      <c r="U86" s="15"/>
      <c r="V86" s="8"/>
      <c r="W86" s="8">
        <f t="shared" si="40"/>
        <v>0</v>
      </c>
      <c r="X86" s="11"/>
      <c r="Y86" s="10"/>
      <c r="Z86" s="15"/>
      <c r="AA86" s="8"/>
      <c r="AB86" s="8">
        <f t="shared" si="41"/>
        <v>0</v>
      </c>
      <c r="AC86" s="11"/>
      <c r="AD86" s="10"/>
      <c r="AE86" s="15"/>
      <c r="AF86" s="8"/>
      <c r="AG86" s="8">
        <f t="shared" si="42"/>
        <v>0</v>
      </c>
      <c r="AH86" s="11"/>
      <c r="AI86" s="10"/>
      <c r="AJ86" s="8">
        <f t="shared" si="43"/>
        <v>0</v>
      </c>
      <c r="AK86" s="8">
        <f t="shared" si="44"/>
        <v>0</v>
      </c>
      <c r="AL86" s="12"/>
      <c r="AM86" s="1"/>
      <c r="AN86" s="8">
        <f t="shared" si="45"/>
        <v>0</v>
      </c>
      <c r="AO86" s="8">
        <f t="shared" si="46"/>
        <v>0</v>
      </c>
      <c r="AP86" s="13" t="str">
        <f t="shared" si="47"/>
        <v/>
      </c>
      <c r="AQ86" s="1"/>
      <c r="AR86" s="14" t="b">
        <f t="shared" si="48"/>
        <v>0</v>
      </c>
      <c r="AS86" s="14" t="b">
        <f t="shared" si="49"/>
        <v>0</v>
      </c>
      <c r="AT86" s="14" t="b">
        <f t="shared" si="50"/>
        <v>0</v>
      </c>
      <c r="AU86" s="14" t="b">
        <f t="shared" si="51"/>
        <v>0</v>
      </c>
      <c r="AV86" s="14" t="b">
        <f t="shared" si="52"/>
        <v>0</v>
      </c>
      <c r="AW86" s="14" t="b">
        <f t="shared" si="53"/>
        <v>0</v>
      </c>
    </row>
    <row r="87" spans="1:49" ht="15.6" x14ac:dyDescent="0.3">
      <c r="A87" s="54">
        <v>73</v>
      </c>
      <c r="B87" s="55"/>
      <c r="C87" s="56"/>
      <c r="D87" s="68"/>
      <c r="E87" s="145"/>
      <c r="F87" s="143"/>
      <c r="G87" s="8"/>
      <c r="H87" s="8">
        <f t="shared" si="38"/>
        <v>0</v>
      </c>
      <c r="I87" s="11"/>
      <c r="J87" s="10"/>
      <c r="K87" s="143"/>
      <c r="L87" s="8"/>
      <c r="M87" s="8">
        <f t="shared" si="39"/>
        <v>0</v>
      </c>
      <c r="N87" s="11"/>
      <c r="O87" s="10"/>
      <c r="P87" s="15"/>
      <c r="Q87" s="8"/>
      <c r="R87" s="8">
        <f t="shared" si="54"/>
        <v>0</v>
      </c>
      <c r="S87" s="11"/>
      <c r="T87" s="10"/>
      <c r="U87" s="15"/>
      <c r="V87" s="8"/>
      <c r="W87" s="8">
        <f t="shared" si="40"/>
        <v>0</v>
      </c>
      <c r="X87" s="11"/>
      <c r="Y87" s="10"/>
      <c r="Z87" s="15"/>
      <c r="AA87" s="8"/>
      <c r="AB87" s="8">
        <f t="shared" si="41"/>
        <v>0</v>
      </c>
      <c r="AC87" s="11"/>
      <c r="AD87" s="10"/>
      <c r="AE87" s="15"/>
      <c r="AF87" s="8"/>
      <c r="AG87" s="8">
        <f t="shared" si="42"/>
        <v>0</v>
      </c>
      <c r="AH87" s="11"/>
      <c r="AI87" s="10"/>
      <c r="AJ87" s="8">
        <f t="shared" si="43"/>
        <v>0</v>
      </c>
      <c r="AK87" s="8">
        <f t="shared" si="44"/>
        <v>0</v>
      </c>
      <c r="AL87" s="12"/>
      <c r="AM87" s="1"/>
      <c r="AN87" s="8">
        <f t="shared" si="45"/>
        <v>0</v>
      </c>
      <c r="AO87" s="8">
        <f t="shared" si="46"/>
        <v>0</v>
      </c>
      <c r="AP87" s="13" t="str">
        <f t="shared" si="47"/>
        <v/>
      </c>
      <c r="AQ87" s="1"/>
      <c r="AR87" s="14" t="b">
        <f t="shared" si="48"/>
        <v>0</v>
      </c>
      <c r="AS87" s="14" t="b">
        <f t="shared" si="49"/>
        <v>0</v>
      </c>
      <c r="AT87" s="14" t="b">
        <f t="shared" si="50"/>
        <v>0</v>
      </c>
      <c r="AU87" s="14" t="b">
        <f t="shared" si="51"/>
        <v>0</v>
      </c>
      <c r="AV87" s="14" t="b">
        <f t="shared" si="52"/>
        <v>0</v>
      </c>
      <c r="AW87" s="14" t="b">
        <f t="shared" si="53"/>
        <v>0</v>
      </c>
    </row>
    <row r="88" spans="1:49" ht="15.6" x14ac:dyDescent="0.3">
      <c r="A88" s="54">
        <v>74</v>
      </c>
      <c r="B88" s="55"/>
      <c r="C88" s="56"/>
      <c r="D88" s="68"/>
      <c r="E88" s="145"/>
      <c r="F88" s="143"/>
      <c r="G88" s="8"/>
      <c r="H88" s="8">
        <f t="shared" si="38"/>
        <v>0</v>
      </c>
      <c r="I88" s="11"/>
      <c r="J88" s="10"/>
      <c r="K88" s="143"/>
      <c r="L88" s="8"/>
      <c r="M88" s="8">
        <f t="shared" si="39"/>
        <v>0</v>
      </c>
      <c r="N88" s="11"/>
      <c r="O88" s="10"/>
      <c r="P88" s="15"/>
      <c r="Q88" s="8"/>
      <c r="R88" s="8">
        <f t="shared" si="54"/>
        <v>0</v>
      </c>
      <c r="S88" s="11"/>
      <c r="T88" s="10"/>
      <c r="U88" s="15"/>
      <c r="V88" s="8"/>
      <c r="W88" s="8">
        <f t="shared" si="40"/>
        <v>0</v>
      </c>
      <c r="X88" s="11"/>
      <c r="Y88" s="10"/>
      <c r="Z88" s="15"/>
      <c r="AA88" s="8"/>
      <c r="AB88" s="8">
        <f t="shared" si="41"/>
        <v>0</v>
      </c>
      <c r="AC88" s="11"/>
      <c r="AD88" s="10"/>
      <c r="AE88" s="15"/>
      <c r="AF88" s="8"/>
      <c r="AG88" s="8">
        <f t="shared" si="42"/>
        <v>0</v>
      </c>
      <c r="AH88" s="11"/>
      <c r="AI88" s="10"/>
      <c r="AJ88" s="8">
        <f t="shared" si="43"/>
        <v>0</v>
      </c>
      <c r="AK88" s="8">
        <f t="shared" si="44"/>
        <v>0</v>
      </c>
      <c r="AL88" s="12"/>
      <c r="AM88" s="1"/>
      <c r="AN88" s="8">
        <f t="shared" si="45"/>
        <v>0</v>
      </c>
      <c r="AO88" s="8">
        <f t="shared" si="46"/>
        <v>0</v>
      </c>
      <c r="AP88" s="13" t="str">
        <f t="shared" si="47"/>
        <v/>
      </c>
      <c r="AQ88" s="1"/>
      <c r="AR88" s="14" t="b">
        <f t="shared" si="48"/>
        <v>0</v>
      </c>
      <c r="AS88" s="14" t="b">
        <f t="shared" si="49"/>
        <v>0</v>
      </c>
      <c r="AT88" s="14" t="b">
        <f t="shared" si="50"/>
        <v>0</v>
      </c>
      <c r="AU88" s="14" t="b">
        <f t="shared" si="51"/>
        <v>0</v>
      </c>
      <c r="AV88" s="14" t="b">
        <f t="shared" si="52"/>
        <v>0</v>
      </c>
      <c r="AW88" s="14" t="b">
        <f t="shared" si="53"/>
        <v>0</v>
      </c>
    </row>
    <row r="89" spans="1:49" ht="15.6" x14ac:dyDescent="0.3">
      <c r="A89" s="54">
        <v>75</v>
      </c>
      <c r="B89" s="55"/>
      <c r="C89" s="56"/>
      <c r="D89" s="68"/>
      <c r="E89" s="145"/>
      <c r="F89" s="143"/>
      <c r="G89" s="8"/>
      <c r="H89" s="8">
        <f t="shared" si="38"/>
        <v>0</v>
      </c>
      <c r="I89" s="11"/>
      <c r="J89" s="10"/>
      <c r="K89" s="143"/>
      <c r="L89" s="8"/>
      <c r="M89" s="8">
        <f t="shared" si="39"/>
        <v>0</v>
      </c>
      <c r="N89" s="11"/>
      <c r="O89" s="10"/>
      <c r="P89" s="15"/>
      <c r="Q89" s="8"/>
      <c r="R89" s="8">
        <f t="shared" si="54"/>
        <v>0</v>
      </c>
      <c r="S89" s="11"/>
      <c r="T89" s="10"/>
      <c r="U89" s="15"/>
      <c r="V89" s="8"/>
      <c r="W89" s="8">
        <f t="shared" si="40"/>
        <v>0</v>
      </c>
      <c r="X89" s="11"/>
      <c r="Y89" s="10"/>
      <c r="Z89" s="15"/>
      <c r="AA89" s="8"/>
      <c r="AB89" s="8">
        <f t="shared" si="41"/>
        <v>0</v>
      </c>
      <c r="AC89" s="11"/>
      <c r="AD89" s="10"/>
      <c r="AE89" s="15"/>
      <c r="AF89" s="8"/>
      <c r="AG89" s="8">
        <f t="shared" si="42"/>
        <v>0</v>
      </c>
      <c r="AH89" s="11"/>
      <c r="AI89" s="10"/>
      <c r="AJ89" s="8">
        <f t="shared" si="43"/>
        <v>0</v>
      </c>
      <c r="AK89" s="8">
        <f t="shared" si="44"/>
        <v>0</v>
      </c>
      <c r="AL89" s="12"/>
      <c r="AM89" s="1"/>
      <c r="AN89" s="8">
        <f t="shared" si="45"/>
        <v>0</v>
      </c>
      <c r="AO89" s="8">
        <f t="shared" si="46"/>
        <v>0</v>
      </c>
      <c r="AP89" s="13" t="str">
        <f t="shared" si="47"/>
        <v/>
      </c>
      <c r="AQ89" s="1"/>
      <c r="AR89" s="14" t="b">
        <f t="shared" si="48"/>
        <v>0</v>
      </c>
      <c r="AS89" s="14" t="b">
        <f t="shared" si="49"/>
        <v>0</v>
      </c>
      <c r="AT89" s="14" t="b">
        <f t="shared" si="50"/>
        <v>0</v>
      </c>
      <c r="AU89" s="14" t="b">
        <f t="shared" si="51"/>
        <v>0</v>
      </c>
      <c r="AV89" s="14" t="b">
        <f t="shared" si="52"/>
        <v>0</v>
      </c>
      <c r="AW89" s="14" t="b">
        <f t="shared" si="53"/>
        <v>0</v>
      </c>
    </row>
    <row r="90" spans="1:49" ht="15.6" x14ac:dyDescent="0.3">
      <c r="A90" s="54">
        <v>76</v>
      </c>
      <c r="B90" s="55"/>
      <c r="C90" s="56"/>
      <c r="D90" s="68"/>
      <c r="E90" s="145"/>
      <c r="F90" s="143"/>
      <c r="G90" s="8"/>
      <c r="H90" s="8">
        <f t="shared" si="38"/>
        <v>0</v>
      </c>
      <c r="I90" s="11"/>
      <c r="J90" s="10"/>
      <c r="K90" s="143"/>
      <c r="L90" s="8"/>
      <c r="M90" s="8">
        <f t="shared" si="39"/>
        <v>0</v>
      </c>
      <c r="N90" s="11"/>
      <c r="O90" s="10"/>
      <c r="P90" s="15"/>
      <c r="Q90" s="8"/>
      <c r="R90" s="8">
        <f t="shared" si="54"/>
        <v>0</v>
      </c>
      <c r="S90" s="11"/>
      <c r="T90" s="10"/>
      <c r="U90" s="15"/>
      <c r="V90" s="8"/>
      <c r="W90" s="8">
        <f t="shared" si="40"/>
        <v>0</v>
      </c>
      <c r="X90" s="11"/>
      <c r="Y90" s="10"/>
      <c r="Z90" s="15"/>
      <c r="AA90" s="8"/>
      <c r="AB90" s="8">
        <f t="shared" si="41"/>
        <v>0</v>
      </c>
      <c r="AC90" s="11"/>
      <c r="AD90" s="10"/>
      <c r="AE90" s="15"/>
      <c r="AF90" s="8"/>
      <c r="AG90" s="8">
        <f t="shared" si="42"/>
        <v>0</v>
      </c>
      <c r="AH90" s="11"/>
      <c r="AI90" s="10"/>
      <c r="AJ90" s="8">
        <f t="shared" si="43"/>
        <v>0</v>
      </c>
      <c r="AK90" s="8">
        <f t="shared" si="44"/>
        <v>0</v>
      </c>
      <c r="AL90" s="12"/>
      <c r="AM90" s="1"/>
      <c r="AN90" s="8">
        <f t="shared" si="45"/>
        <v>0</v>
      </c>
      <c r="AO90" s="8">
        <f t="shared" si="46"/>
        <v>0</v>
      </c>
      <c r="AP90" s="13" t="str">
        <f t="shared" si="47"/>
        <v/>
      </c>
      <c r="AQ90" s="1"/>
      <c r="AR90" s="14" t="b">
        <f t="shared" si="48"/>
        <v>0</v>
      </c>
      <c r="AS90" s="14" t="b">
        <f t="shared" si="49"/>
        <v>0</v>
      </c>
      <c r="AT90" s="14" t="b">
        <f t="shared" si="50"/>
        <v>0</v>
      </c>
      <c r="AU90" s="14" t="b">
        <f t="shared" si="51"/>
        <v>0</v>
      </c>
      <c r="AV90" s="14" t="b">
        <f t="shared" si="52"/>
        <v>0</v>
      </c>
      <c r="AW90" s="14" t="b">
        <f t="shared" si="53"/>
        <v>0</v>
      </c>
    </row>
    <row r="91" spans="1:49" ht="15.6" x14ac:dyDescent="0.3">
      <c r="A91" s="54">
        <v>77</v>
      </c>
      <c r="B91" s="55"/>
      <c r="C91" s="56"/>
      <c r="D91" s="68"/>
      <c r="E91" s="145"/>
      <c r="F91" s="143"/>
      <c r="G91" s="8"/>
      <c r="H91" s="8">
        <f t="shared" si="38"/>
        <v>0</v>
      </c>
      <c r="I91" s="11"/>
      <c r="J91" s="10"/>
      <c r="K91" s="143"/>
      <c r="L91" s="8"/>
      <c r="M91" s="8">
        <f t="shared" si="39"/>
        <v>0</v>
      </c>
      <c r="N91" s="11"/>
      <c r="O91" s="10"/>
      <c r="P91" s="15"/>
      <c r="Q91" s="8"/>
      <c r="R91" s="8">
        <f t="shared" si="54"/>
        <v>0</v>
      </c>
      <c r="S91" s="11"/>
      <c r="T91" s="10"/>
      <c r="U91" s="15"/>
      <c r="V91" s="8"/>
      <c r="W91" s="8">
        <f t="shared" si="40"/>
        <v>0</v>
      </c>
      <c r="X91" s="11"/>
      <c r="Y91" s="10"/>
      <c r="Z91" s="15"/>
      <c r="AA91" s="8"/>
      <c r="AB91" s="8">
        <f t="shared" si="41"/>
        <v>0</v>
      </c>
      <c r="AC91" s="11"/>
      <c r="AD91" s="10"/>
      <c r="AE91" s="15"/>
      <c r="AF91" s="8"/>
      <c r="AG91" s="8">
        <f t="shared" si="42"/>
        <v>0</v>
      </c>
      <c r="AH91" s="11"/>
      <c r="AI91" s="10"/>
      <c r="AJ91" s="8">
        <f t="shared" si="43"/>
        <v>0</v>
      </c>
      <c r="AK91" s="8">
        <f t="shared" si="44"/>
        <v>0</v>
      </c>
      <c r="AL91" s="12"/>
      <c r="AM91" s="1"/>
      <c r="AN91" s="8">
        <f t="shared" si="45"/>
        <v>0</v>
      </c>
      <c r="AO91" s="8">
        <f t="shared" si="46"/>
        <v>0</v>
      </c>
      <c r="AP91" s="13" t="str">
        <f t="shared" si="47"/>
        <v/>
      </c>
      <c r="AQ91" s="1"/>
      <c r="AR91" s="14" t="b">
        <f t="shared" si="48"/>
        <v>0</v>
      </c>
      <c r="AS91" s="14" t="b">
        <f t="shared" si="49"/>
        <v>0</v>
      </c>
      <c r="AT91" s="14" t="b">
        <f t="shared" si="50"/>
        <v>0</v>
      </c>
      <c r="AU91" s="14" t="b">
        <f t="shared" si="51"/>
        <v>0</v>
      </c>
      <c r="AV91" s="14" t="b">
        <f t="shared" si="52"/>
        <v>0</v>
      </c>
      <c r="AW91" s="14" t="b">
        <f t="shared" si="53"/>
        <v>0</v>
      </c>
    </row>
    <row r="92" spans="1:49" ht="15.6" x14ac:dyDescent="0.3">
      <c r="A92" s="54">
        <v>78</v>
      </c>
      <c r="B92" s="55"/>
      <c r="C92" s="56"/>
      <c r="D92" s="68"/>
      <c r="E92" s="145"/>
      <c r="F92" s="143"/>
      <c r="G92" s="8"/>
      <c r="H92" s="8">
        <f t="shared" si="38"/>
        <v>0</v>
      </c>
      <c r="I92" s="11"/>
      <c r="J92" s="10"/>
      <c r="K92" s="143"/>
      <c r="L92" s="8"/>
      <c r="M92" s="8">
        <f t="shared" si="39"/>
        <v>0</v>
      </c>
      <c r="N92" s="11"/>
      <c r="O92" s="10"/>
      <c r="P92" s="15"/>
      <c r="Q92" s="8"/>
      <c r="R92" s="8">
        <f t="shared" si="54"/>
        <v>0</v>
      </c>
      <c r="S92" s="11"/>
      <c r="T92" s="10"/>
      <c r="U92" s="15"/>
      <c r="V92" s="8"/>
      <c r="W92" s="8">
        <f t="shared" si="40"/>
        <v>0</v>
      </c>
      <c r="X92" s="11"/>
      <c r="Y92" s="10"/>
      <c r="Z92" s="15"/>
      <c r="AA92" s="8"/>
      <c r="AB92" s="8">
        <f t="shared" si="41"/>
        <v>0</v>
      </c>
      <c r="AC92" s="11"/>
      <c r="AD92" s="10"/>
      <c r="AE92" s="15"/>
      <c r="AF92" s="8"/>
      <c r="AG92" s="8">
        <f t="shared" si="42"/>
        <v>0</v>
      </c>
      <c r="AH92" s="11"/>
      <c r="AI92" s="10"/>
      <c r="AJ92" s="8">
        <f t="shared" si="43"/>
        <v>0</v>
      </c>
      <c r="AK92" s="8">
        <f t="shared" si="44"/>
        <v>0</v>
      </c>
      <c r="AL92" s="12"/>
      <c r="AM92" s="1"/>
      <c r="AN92" s="8">
        <f t="shared" si="45"/>
        <v>0</v>
      </c>
      <c r="AO92" s="8">
        <f t="shared" si="46"/>
        <v>0</v>
      </c>
      <c r="AP92" s="13" t="str">
        <f t="shared" si="47"/>
        <v/>
      </c>
      <c r="AQ92" s="1"/>
      <c r="AR92" s="14" t="b">
        <f t="shared" si="48"/>
        <v>0</v>
      </c>
      <c r="AS92" s="14" t="b">
        <f t="shared" si="49"/>
        <v>0</v>
      </c>
      <c r="AT92" s="14" t="b">
        <f t="shared" si="50"/>
        <v>0</v>
      </c>
      <c r="AU92" s="14" t="b">
        <f t="shared" si="51"/>
        <v>0</v>
      </c>
      <c r="AV92" s="14" t="b">
        <f t="shared" si="52"/>
        <v>0</v>
      </c>
      <c r="AW92" s="14" t="b">
        <f t="shared" si="53"/>
        <v>0</v>
      </c>
    </row>
    <row r="93" spans="1:49" ht="15.6" x14ac:dyDescent="0.3">
      <c r="A93" s="54">
        <v>79</v>
      </c>
      <c r="B93" s="55"/>
      <c r="C93" s="56"/>
      <c r="D93" s="68"/>
      <c r="E93" s="145"/>
      <c r="F93" s="143"/>
      <c r="G93" s="8"/>
      <c r="H93" s="8">
        <f t="shared" si="38"/>
        <v>0</v>
      </c>
      <c r="I93" s="11"/>
      <c r="J93" s="10"/>
      <c r="K93" s="143"/>
      <c r="L93" s="8"/>
      <c r="M93" s="8">
        <f t="shared" si="39"/>
        <v>0</v>
      </c>
      <c r="N93" s="11"/>
      <c r="O93" s="10"/>
      <c r="P93" s="15"/>
      <c r="Q93" s="8"/>
      <c r="R93" s="8">
        <f t="shared" si="54"/>
        <v>0</v>
      </c>
      <c r="S93" s="11"/>
      <c r="T93" s="10"/>
      <c r="U93" s="15"/>
      <c r="V93" s="8"/>
      <c r="W93" s="8">
        <f t="shared" si="40"/>
        <v>0</v>
      </c>
      <c r="X93" s="11"/>
      <c r="Y93" s="10"/>
      <c r="Z93" s="15"/>
      <c r="AA93" s="8"/>
      <c r="AB93" s="8">
        <f t="shared" si="41"/>
        <v>0</v>
      </c>
      <c r="AC93" s="11"/>
      <c r="AD93" s="10"/>
      <c r="AE93" s="15"/>
      <c r="AF93" s="8"/>
      <c r="AG93" s="8">
        <f t="shared" si="42"/>
        <v>0</v>
      </c>
      <c r="AH93" s="11"/>
      <c r="AI93" s="10"/>
      <c r="AJ93" s="8">
        <f t="shared" si="43"/>
        <v>0</v>
      </c>
      <c r="AK93" s="8">
        <f t="shared" si="44"/>
        <v>0</v>
      </c>
      <c r="AL93" s="12"/>
      <c r="AM93" s="1"/>
      <c r="AN93" s="8">
        <f t="shared" si="45"/>
        <v>0</v>
      </c>
      <c r="AO93" s="8">
        <f t="shared" si="46"/>
        <v>0</v>
      </c>
      <c r="AP93" s="13" t="str">
        <f t="shared" si="47"/>
        <v/>
      </c>
      <c r="AQ93" s="1"/>
      <c r="AR93" s="14" t="b">
        <f t="shared" si="48"/>
        <v>0</v>
      </c>
      <c r="AS93" s="14" t="b">
        <f t="shared" si="49"/>
        <v>0</v>
      </c>
      <c r="AT93" s="14" t="b">
        <f t="shared" si="50"/>
        <v>0</v>
      </c>
      <c r="AU93" s="14" t="b">
        <f t="shared" si="51"/>
        <v>0</v>
      </c>
      <c r="AV93" s="14" t="b">
        <f t="shared" si="52"/>
        <v>0</v>
      </c>
      <c r="AW93" s="14" t="b">
        <f t="shared" si="53"/>
        <v>0</v>
      </c>
    </row>
    <row r="94" spans="1:49" ht="15.6" x14ac:dyDescent="0.3">
      <c r="A94" s="54">
        <v>80</v>
      </c>
      <c r="B94" s="55"/>
      <c r="C94" s="56"/>
      <c r="D94" s="68"/>
      <c r="E94" s="145"/>
      <c r="F94" s="143"/>
      <c r="G94" s="8"/>
      <c r="H94" s="8">
        <f t="shared" si="38"/>
        <v>0</v>
      </c>
      <c r="I94" s="11"/>
      <c r="J94" s="10"/>
      <c r="K94" s="143"/>
      <c r="L94" s="8"/>
      <c r="M94" s="8">
        <f t="shared" si="39"/>
        <v>0</v>
      </c>
      <c r="N94" s="11"/>
      <c r="O94" s="10"/>
      <c r="P94" s="15"/>
      <c r="Q94" s="8"/>
      <c r="R94" s="8">
        <f t="shared" si="54"/>
        <v>0</v>
      </c>
      <c r="S94" s="11"/>
      <c r="T94" s="10"/>
      <c r="U94" s="15"/>
      <c r="V94" s="8"/>
      <c r="W94" s="8">
        <f t="shared" si="40"/>
        <v>0</v>
      </c>
      <c r="X94" s="11"/>
      <c r="Y94" s="10"/>
      <c r="Z94" s="15"/>
      <c r="AA94" s="8"/>
      <c r="AB94" s="8">
        <f t="shared" si="41"/>
        <v>0</v>
      </c>
      <c r="AC94" s="11"/>
      <c r="AD94" s="10"/>
      <c r="AE94" s="15"/>
      <c r="AF94" s="8"/>
      <c r="AG94" s="8">
        <f t="shared" si="42"/>
        <v>0</v>
      </c>
      <c r="AH94" s="11"/>
      <c r="AI94" s="10"/>
      <c r="AJ94" s="8">
        <f t="shared" si="43"/>
        <v>0</v>
      </c>
      <c r="AK94" s="8">
        <f t="shared" si="44"/>
        <v>0</v>
      </c>
      <c r="AL94" s="12"/>
      <c r="AM94" s="1"/>
      <c r="AN94" s="8">
        <f t="shared" si="45"/>
        <v>0</v>
      </c>
      <c r="AO94" s="8">
        <f t="shared" si="46"/>
        <v>0</v>
      </c>
      <c r="AP94" s="13" t="str">
        <f t="shared" si="47"/>
        <v/>
      </c>
      <c r="AQ94" s="1"/>
      <c r="AR94" s="14" t="b">
        <f t="shared" si="48"/>
        <v>0</v>
      </c>
      <c r="AS94" s="14" t="b">
        <f t="shared" si="49"/>
        <v>0</v>
      </c>
      <c r="AT94" s="14" t="b">
        <f t="shared" si="50"/>
        <v>0</v>
      </c>
      <c r="AU94" s="14" t="b">
        <f t="shared" si="51"/>
        <v>0</v>
      </c>
      <c r="AV94" s="14" t="b">
        <f t="shared" si="52"/>
        <v>0</v>
      </c>
      <c r="AW94" s="14" t="b">
        <f t="shared" si="53"/>
        <v>0</v>
      </c>
    </row>
    <row r="95" spans="1:49" ht="15.6" x14ac:dyDescent="0.3">
      <c r="A95" s="54">
        <v>81</v>
      </c>
      <c r="B95" s="55"/>
      <c r="C95" s="56"/>
      <c r="D95" s="68"/>
      <c r="E95" s="145"/>
      <c r="F95" s="143"/>
      <c r="G95" s="8"/>
      <c r="H95" s="8">
        <f t="shared" si="38"/>
        <v>0</v>
      </c>
      <c r="I95" s="11"/>
      <c r="J95" s="10"/>
      <c r="K95" s="143"/>
      <c r="L95" s="8"/>
      <c r="M95" s="8">
        <f t="shared" si="39"/>
        <v>0</v>
      </c>
      <c r="N95" s="11"/>
      <c r="O95" s="10"/>
      <c r="P95" s="15"/>
      <c r="Q95" s="8"/>
      <c r="R95" s="8">
        <f t="shared" si="54"/>
        <v>0</v>
      </c>
      <c r="S95" s="11"/>
      <c r="T95" s="10"/>
      <c r="U95" s="15"/>
      <c r="V95" s="8"/>
      <c r="W95" s="8">
        <f t="shared" si="40"/>
        <v>0</v>
      </c>
      <c r="X95" s="11"/>
      <c r="Y95" s="10"/>
      <c r="Z95" s="15"/>
      <c r="AA95" s="8"/>
      <c r="AB95" s="8">
        <f t="shared" si="41"/>
        <v>0</v>
      </c>
      <c r="AC95" s="11"/>
      <c r="AD95" s="10"/>
      <c r="AE95" s="15"/>
      <c r="AF95" s="8"/>
      <c r="AG95" s="8">
        <f t="shared" si="42"/>
        <v>0</v>
      </c>
      <c r="AH95" s="11"/>
      <c r="AI95" s="10"/>
      <c r="AJ95" s="8">
        <f t="shared" si="43"/>
        <v>0</v>
      </c>
      <c r="AK95" s="8">
        <f t="shared" si="44"/>
        <v>0</v>
      </c>
      <c r="AL95" s="12"/>
      <c r="AM95" s="1"/>
      <c r="AN95" s="8">
        <f t="shared" si="45"/>
        <v>0</v>
      </c>
      <c r="AO95" s="8">
        <f t="shared" si="46"/>
        <v>0</v>
      </c>
      <c r="AP95" s="13" t="str">
        <f t="shared" si="47"/>
        <v/>
      </c>
      <c r="AQ95" s="1"/>
      <c r="AR95" s="14" t="b">
        <f t="shared" si="48"/>
        <v>0</v>
      </c>
      <c r="AS95" s="14" t="b">
        <f t="shared" si="49"/>
        <v>0</v>
      </c>
      <c r="AT95" s="14" t="b">
        <f t="shared" si="50"/>
        <v>0</v>
      </c>
      <c r="AU95" s="14" t="b">
        <f t="shared" si="51"/>
        <v>0</v>
      </c>
      <c r="AV95" s="14" t="b">
        <f t="shared" si="52"/>
        <v>0</v>
      </c>
      <c r="AW95" s="14" t="b">
        <f t="shared" si="53"/>
        <v>0</v>
      </c>
    </row>
    <row r="96" spans="1:49" ht="15.6" x14ac:dyDescent="0.3">
      <c r="A96" s="54">
        <v>82</v>
      </c>
      <c r="B96" s="55"/>
      <c r="C96" s="56"/>
      <c r="D96" s="68"/>
      <c r="E96" s="145"/>
      <c r="F96" s="143"/>
      <c r="G96" s="8"/>
      <c r="H96" s="8">
        <f t="shared" si="38"/>
        <v>0</v>
      </c>
      <c r="I96" s="11"/>
      <c r="J96" s="10"/>
      <c r="K96" s="143"/>
      <c r="L96" s="8"/>
      <c r="M96" s="8">
        <f t="shared" si="39"/>
        <v>0</v>
      </c>
      <c r="N96" s="11"/>
      <c r="O96" s="10"/>
      <c r="P96" s="15"/>
      <c r="Q96" s="8"/>
      <c r="R96" s="8">
        <f t="shared" si="54"/>
        <v>0</v>
      </c>
      <c r="S96" s="11"/>
      <c r="T96" s="10"/>
      <c r="U96" s="15"/>
      <c r="V96" s="8"/>
      <c r="W96" s="8">
        <f t="shared" si="40"/>
        <v>0</v>
      </c>
      <c r="X96" s="11"/>
      <c r="Y96" s="10"/>
      <c r="Z96" s="15"/>
      <c r="AA96" s="8"/>
      <c r="AB96" s="8">
        <f t="shared" si="41"/>
        <v>0</v>
      </c>
      <c r="AC96" s="11"/>
      <c r="AD96" s="10"/>
      <c r="AE96" s="15"/>
      <c r="AF96" s="8"/>
      <c r="AG96" s="8">
        <f t="shared" si="42"/>
        <v>0</v>
      </c>
      <c r="AH96" s="11"/>
      <c r="AI96" s="10"/>
      <c r="AJ96" s="8">
        <f t="shared" si="43"/>
        <v>0</v>
      </c>
      <c r="AK96" s="8">
        <f t="shared" si="44"/>
        <v>0</v>
      </c>
      <c r="AL96" s="12"/>
      <c r="AM96" s="1"/>
      <c r="AN96" s="8">
        <f t="shared" si="45"/>
        <v>0</v>
      </c>
      <c r="AO96" s="8">
        <f t="shared" si="46"/>
        <v>0</v>
      </c>
      <c r="AP96" s="13" t="str">
        <f t="shared" si="47"/>
        <v/>
      </c>
      <c r="AQ96" s="1"/>
      <c r="AR96" s="14" t="b">
        <f t="shared" si="48"/>
        <v>0</v>
      </c>
      <c r="AS96" s="14" t="b">
        <f t="shared" si="49"/>
        <v>0</v>
      </c>
      <c r="AT96" s="14" t="b">
        <f t="shared" si="50"/>
        <v>0</v>
      </c>
      <c r="AU96" s="14" t="b">
        <f t="shared" si="51"/>
        <v>0</v>
      </c>
      <c r="AV96" s="14" t="b">
        <f t="shared" si="52"/>
        <v>0</v>
      </c>
      <c r="AW96" s="14" t="b">
        <f t="shared" si="53"/>
        <v>0</v>
      </c>
    </row>
    <row r="97" spans="1:49" ht="15.6" x14ac:dyDescent="0.3">
      <c r="A97" s="54">
        <v>83</v>
      </c>
      <c r="B97" s="55"/>
      <c r="C97" s="56"/>
      <c r="D97" s="68"/>
      <c r="E97" s="145"/>
      <c r="F97" s="143"/>
      <c r="G97" s="8"/>
      <c r="H97" s="8">
        <f t="shared" si="38"/>
        <v>0</v>
      </c>
      <c r="I97" s="11"/>
      <c r="J97" s="10"/>
      <c r="K97" s="143"/>
      <c r="L97" s="8"/>
      <c r="M97" s="8">
        <f t="shared" si="39"/>
        <v>0</v>
      </c>
      <c r="N97" s="11"/>
      <c r="O97" s="10"/>
      <c r="P97" s="15"/>
      <c r="Q97" s="8"/>
      <c r="R97" s="8">
        <f t="shared" si="54"/>
        <v>0</v>
      </c>
      <c r="S97" s="11"/>
      <c r="T97" s="10"/>
      <c r="U97" s="15"/>
      <c r="V97" s="8"/>
      <c r="W97" s="8">
        <f t="shared" si="40"/>
        <v>0</v>
      </c>
      <c r="X97" s="11"/>
      <c r="Y97" s="10"/>
      <c r="Z97" s="15"/>
      <c r="AA97" s="8"/>
      <c r="AB97" s="8">
        <f t="shared" si="41"/>
        <v>0</v>
      </c>
      <c r="AC97" s="11"/>
      <c r="AD97" s="10"/>
      <c r="AE97" s="15"/>
      <c r="AF97" s="8"/>
      <c r="AG97" s="8">
        <f t="shared" si="42"/>
        <v>0</v>
      </c>
      <c r="AH97" s="11"/>
      <c r="AI97" s="10"/>
      <c r="AJ97" s="8">
        <f t="shared" si="43"/>
        <v>0</v>
      </c>
      <c r="AK97" s="8">
        <f t="shared" si="44"/>
        <v>0</v>
      </c>
      <c r="AL97" s="12"/>
      <c r="AM97" s="1"/>
      <c r="AN97" s="8">
        <f t="shared" si="45"/>
        <v>0</v>
      </c>
      <c r="AO97" s="8">
        <f t="shared" si="46"/>
        <v>0</v>
      </c>
      <c r="AP97" s="13" t="str">
        <f t="shared" si="47"/>
        <v/>
      </c>
      <c r="AQ97" s="1"/>
      <c r="AR97" s="14" t="b">
        <f t="shared" si="48"/>
        <v>0</v>
      </c>
      <c r="AS97" s="14" t="b">
        <f t="shared" si="49"/>
        <v>0</v>
      </c>
      <c r="AT97" s="14" t="b">
        <f t="shared" si="50"/>
        <v>0</v>
      </c>
      <c r="AU97" s="14" t="b">
        <f t="shared" si="51"/>
        <v>0</v>
      </c>
      <c r="AV97" s="14" t="b">
        <f t="shared" si="52"/>
        <v>0</v>
      </c>
      <c r="AW97" s="14" t="b">
        <f t="shared" si="53"/>
        <v>0</v>
      </c>
    </row>
    <row r="98" spans="1:49" ht="15.6" x14ac:dyDescent="0.3">
      <c r="A98" s="54">
        <v>84</v>
      </c>
      <c r="B98" s="55"/>
      <c r="C98" s="56"/>
      <c r="D98" s="68"/>
      <c r="E98" s="145"/>
      <c r="F98" s="143"/>
      <c r="G98" s="8"/>
      <c r="H98" s="8">
        <f t="shared" si="38"/>
        <v>0</v>
      </c>
      <c r="I98" s="11"/>
      <c r="J98" s="10"/>
      <c r="K98" s="143"/>
      <c r="L98" s="8"/>
      <c r="M98" s="8">
        <f t="shared" si="39"/>
        <v>0</v>
      </c>
      <c r="N98" s="11"/>
      <c r="O98" s="10"/>
      <c r="P98" s="15"/>
      <c r="Q98" s="8"/>
      <c r="R98" s="8">
        <f t="shared" si="54"/>
        <v>0</v>
      </c>
      <c r="S98" s="11"/>
      <c r="T98" s="10"/>
      <c r="U98" s="15"/>
      <c r="V98" s="8"/>
      <c r="W98" s="8">
        <f t="shared" si="40"/>
        <v>0</v>
      </c>
      <c r="X98" s="11"/>
      <c r="Y98" s="10"/>
      <c r="Z98" s="15"/>
      <c r="AA98" s="8"/>
      <c r="AB98" s="8">
        <f t="shared" si="41"/>
        <v>0</v>
      </c>
      <c r="AC98" s="11"/>
      <c r="AD98" s="10"/>
      <c r="AE98" s="15"/>
      <c r="AF98" s="8"/>
      <c r="AG98" s="8">
        <f t="shared" si="42"/>
        <v>0</v>
      </c>
      <c r="AH98" s="11"/>
      <c r="AI98" s="10"/>
      <c r="AJ98" s="8">
        <f t="shared" si="43"/>
        <v>0</v>
      </c>
      <c r="AK98" s="8">
        <f t="shared" si="44"/>
        <v>0</v>
      </c>
      <c r="AL98" s="12"/>
      <c r="AM98" s="1"/>
      <c r="AN98" s="8">
        <f t="shared" si="45"/>
        <v>0</v>
      </c>
      <c r="AO98" s="8">
        <f t="shared" si="46"/>
        <v>0</v>
      </c>
      <c r="AP98" s="13" t="str">
        <f t="shared" si="47"/>
        <v/>
      </c>
      <c r="AQ98" s="1"/>
      <c r="AR98" s="14" t="b">
        <f t="shared" si="48"/>
        <v>0</v>
      </c>
      <c r="AS98" s="14" t="b">
        <f t="shared" si="49"/>
        <v>0</v>
      </c>
      <c r="AT98" s="14" t="b">
        <f t="shared" si="50"/>
        <v>0</v>
      </c>
      <c r="AU98" s="14" t="b">
        <f t="shared" si="51"/>
        <v>0</v>
      </c>
      <c r="AV98" s="14" t="b">
        <f t="shared" si="52"/>
        <v>0</v>
      </c>
      <c r="AW98" s="14" t="b">
        <f t="shared" si="53"/>
        <v>0</v>
      </c>
    </row>
    <row r="99" spans="1:49" ht="15.6" x14ac:dyDescent="0.3">
      <c r="A99" s="54">
        <v>85</v>
      </c>
      <c r="B99" s="55"/>
      <c r="C99" s="56"/>
      <c r="D99" s="68"/>
      <c r="E99" s="145"/>
      <c r="F99" s="143"/>
      <c r="G99" s="8"/>
      <c r="H99" s="8">
        <f t="shared" si="38"/>
        <v>0</v>
      </c>
      <c r="I99" s="11"/>
      <c r="J99" s="10"/>
      <c r="K99" s="143"/>
      <c r="L99" s="8"/>
      <c r="M99" s="8">
        <f t="shared" si="39"/>
        <v>0</v>
      </c>
      <c r="N99" s="11"/>
      <c r="O99" s="10"/>
      <c r="P99" s="15"/>
      <c r="Q99" s="8"/>
      <c r="R99" s="8">
        <f t="shared" si="54"/>
        <v>0</v>
      </c>
      <c r="S99" s="11"/>
      <c r="T99" s="10"/>
      <c r="U99" s="15"/>
      <c r="V99" s="8"/>
      <c r="W99" s="8">
        <f t="shared" si="40"/>
        <v>0</v>
      </c>
      <c r="X99" s="11"/>
      <c r="Y99" s="10"/>
      <c r="Z99" s="15"/>
      <c r="AA99" s="8"/>
      <c r="AB99" s="8">
        <f t="shared" si="41"/>
        <v>0</v>
      </c>
      <c r="AC99" s="11"/>
      <c r="AD99" s="10"/>
      <c r="AE99" s="15"/>
      <c r="AF99" s="8"/>
      <c r="AG99" s="8">
        <f t="shared" si="42"/>
        <v>0</v>
      </c>
      <c r="AH99" s="11"/>
      <c r="AI99" s="10"/>
      <c r="AJ99" s="8">
        <f t="shared" si="43"/>
        <v>0</v>
      </c>
      <c r="AK99" s="8">
        <f t="shared" si="44"/>
        <v>0</v>
      </c>
      <c r="AL99" s="12"/>
      <c r="AM99" s="1"/>
      <c r="AN99" s="8">
        <f t="shared" si="45"/>
        <v>0</v>
      </c>
      <c r="AO99" s="8">
        <f t="shared" si="46"/>
        <v>0</v>
      </c>
      <c r="AP99" s="13" t="str">
        <f t="shared" si="47"/>
        <v/>
      </c>
      <c r="AQ99" s="1"/>
      <c r="AR99" s="14" t="b">
        <f t="shared" si="48"/>
        <v>0</v>
      </c>
      <c r="AS99" s="14" t="b">
        <f t="shared" si="49"/>
        <v>0</v>
      </c>
      <c r="AT99" s="14" t="b">
        <f t="shared" si="50"/>
        <v>0</v>
      </c>
      <c r="AU99" s="14" t="b">
        <f t="shared" si="51"/>
        <v>0</v>
      </c>
      <c r="AV99" s="14" t="b">
        <f t="shared" si="52"/>
        <v>0</v>
      </c>
      <c r="AW99" s="14" t="b">
        <f t="shared" si="53"/>
        <v>0</v>
      </c>
    </row>
    <row r="100" spans="1:49" ht="15.6" x14ac:dyDescent="0.3">
      <c r="A100" s="54">
        <v>86</v>
      </c>
      <c r="B100" s="55"/>
      <c r="C100" s="56"/>
      <c r="D100" s="68"/>
      <c r="E100" s="145"/>
      <c r="F100" s="143"/>
      <c r="G100" s="8"/>
      <c r="H100" s="8">
        <f t="shared" si="38"/>
        <v>0</v>
      </c>
      <c r="I100" s="11"/>
      <c r="J100" s="10"/>
      <c r="K100" s="143"/>
      <c r="L100" s="8"/>
      <c r="M100" s="8">
        <f t="shared" si="39"/>
        <v>0</v>
      </c>
      <c r="N100" s="11"/>
      <c r="O100" s="10"/>
      <c r="P100" s="15"/>
      <c r="Q100" s="8"/>
      <c r="R100" s="8">
        <f t="shared" si="54"/>
        <v>0</v>
      </c>
      <c r="S100" s="11"/>
      <c r="T100" s="10"/>
      <c r="U100" s="15"/>
      <c r="V100" s="8"/>
      <c r="W100" s="8">
        <f t="shared" si="40"/>
        <v>0</v>
      </c>
      <c r="X100" s="11"/>
      <c r="Y100" s="10"/>
      <c r="Z100" s="15"/>
      <c r="AA100" s="8"/>
      <c r="AB100" s="8">
        <f t="shared" si="41"/>
        <v>0</v>
      </c>
      <c r="AC100" s="11"/>
      <c r="AD100" s="10"/>
      <c r="AE100" s="15"/>
      <c r="AF100" s="8"/>
      <c r="AG100" s="8">
        <f t="shared" si="42"/>
        <v>0</v>
      </c>
      <c r="AH100" s="11"/>
      <c r="AI100" s="10"/>
      <c r="AJ100" s="8">
        <f t="shared" si="43"/>
        <v>0</v>
      </c>
      <c r="AK100" s="8">
        <f t="shared" si="44"/>
        <v>0</v>
      </c>
      <c r="AL100" s="12"/>
      <c r="AM100" s="1"/>
      <c r="AN100" s="8">
        <f t="shared" si="45"/>
        <v>0</v>
      </c>
      <c r="AO100" s="8">
        <f t="shared" si="46"/>
        <v>0</v>
      </c>
      <c r="AP100" s="13" t="str">
        <f t="shared" si="47"/>
        <v/>
      </c>
      <c r="AQ100" s="1"/>
      <c r="AR100" s="14" t="b">
        <f t="shared" si="48"/>
        <v>0</v>
      </c>
      <c r="AS100" s="14" t="b">
        <f t="shared" si="49"/>
        <v>0</v>
      </c>
      <c r="AT100" s="14" t="b">
        <f t="shared" si="50"/>
        <v>0</v>
      </c>
      <c r="AU100" s="14" t="b">
        <f t="shared" si="51"/>
        <v>0</v>
      </c>
      <c r="AV100" s="14" t="b">
        <f t="shared" si="52"/>
        <v>0</v>
      </c>
      <c r="AW100" s="14" t="b">
        <f t="shared" si="53"/>
        <v>0</v>
      </c>
    </row>
    <row r="101" spans="1:49" ht="15.6" x14ac:dyDescent="0.3">
      <c r="A101" s="54">
        <v>87</v>
      </c>
      <c r="B101" s="55"/>
      <c r="C101" s="56"/>
      <c r="D101" s="68"/>
      <c r="E101" s="145"/>
      <c r="F101" s="143"/>
      <c r="G101" s="8"/>
      <c r="H101" s="8">
        <f t="shared" si="38"/>
        <v>0</v>
      </c>
      <c r="I101" s="11"/>
      <c r="J101" s="10"/>
      <c r="K101" s="143"/>
      <c r="L101" s="8"/>
      <c r="M101" s="8">
        <f t="shared" si="39"/>
        <v>0</v>
      </c>
      <c r="N101" s="11"/>
      <c r="O101" s="10"/>
      <c r="P101" s="15"/>
      <c r="Q101" s="8"/>
      <c r="R101" s="8">
        <f t="shared" si="54"/>
        <v>0</v>
      </c>
      <c r="S101" s="11"/>
      <c r="T101" s="10"/>
      <c r="U101" s="15"/>
      <c r="V101" s="8"/>
      <c r="W101" s="8">
        <f t="shared" si="40"/>
        <v>0</v>
      </c>
      <c r="X101" s="11"/>
      <c r="Y101" s="10"/>
      <c r="Z101" s="15"/>
      <c r="AA101" s="8"/>
      <c r="AB101" s="8">
        <f t="shared" si="41"/>
        <v>0</v>
      </c>
      <c r="AC101" s="11"/>
      <c r="AD101" s="10"/>
      <c r="AE101" s="15"/>
      <c r="AF101" s="8"/>
      <c r="AG101" s="8">
        <f t="shared" si="42"/>
        <v>0</v>
      </c>
      <c r="AH101" s="11"/>
      <c r="AI101" s="10"/>
      <c r="AJ101" s="8">
        <f t="shared" si="43"/>
        <v>0</v>
      </c>
      <c r="AK101" s="8">
        <f t="shared" si="44"/>
        <v>0</v>
      </c>
      <c r="AL101" s="12"/>
      <c r="AM101" s="1"/>
      <c r="AN101" s="8">
        <f t="shared" si="45"/>
        <v>0</v>
      </c>
      <c r="AO101" s="8">
        <f t="shared" si="46"/>
        <v>0</v>
      </c>
      <c r="AP101" s="13" t="str">
        <f t="shared" si="47"/>
        <v/>
      </c>
      <c r="AQ101" s="1"/>
      <c r="AR101" s="14" t="b">
        <f t="shared" si="48"/>
        <v>0</v>
      </c>
      <c r="AS101" s="14" t="b">
        <f t="shared" si="49"/>
        <v>0</v>
      </c>
      <c r="AT101" s="14" t="b">
        <f t="shared" si="50"/>
        <v>0</v>
      </c>
      <c r="AU101" s="14" t="b">
        <f t="shared" si="51"/>
        <v>0</v>
      </c>
      <c r="AV101" s="14" t="b">
        <f t="shared" si="52"/>
        <v>0</v>
      </c>
      <c r="AW101" s="14" t="b">
        <f t="shared" si="53"/>
        <v>0</v>
      </c>
    </row>
    <row r="102" spans="1:49" ht="15.6" x14ac:dyDescent="0.3">
      <c r="A102" s="54">
        <v>88</v>
      </c>
      <c r="B102" s="55"/>
      <c r="C102" s="56"/>
      <c r="D102" s="68"/>
      <c r="E102" s="145"/>
      <c r="F102" s="143"/>
      <c r="G102" s="8"/>
      <c r="H102" s="8">
        <f t="shared" si="38"/>
        <v>0</v>
      </c>
      <c r="I102" s="11"/>
      <c r="J102" s="10"/>
      <c r="K102" s="143"/>
      <c r="L102" s="8"/>
      <c r="M102" s="8">
        <f t="shared" si="39"/>
        <v>0</v>
      </c>
      <c r="N102" s="11"/>
      <c r="O102" s="10"/>
      <c r="P102" s="15"/>
      <c r="Q102" s="8"/>
      <c r="R102" s="8">
        <f t="shared" si="54"/>
        <v>0</v>
      </c>
      <c r="S102" s="11"/>
      <c r="T102" s="10"/>
      <c r="U102" s="15"/>
      <c r="V102" s="8"/>
      <c r="W102" s="8">
        <f t="shared" si="40"/>
        <v>0</v>
      </c>
      <c r="X102" s="11"/>
      <c r="Y102" s="10"/>
      <c r="Z102" s="15"/>
      <c r="AA102" s="8"/>
      <c r="AB102" s="8">
        <f t="shared" si="41"/>
        <v>0</v>
      </c>
      <c r="AC102" s="11"/>
      <c r="AD102" s="10"/>
      <c r="AE102" s="15"/>
      <c r="AF102" s="8"/>
      <c r="AG102" s="8">
        <f t="shared" si="42"/>
        <v>0</v>
      </c>
      <c r="AH102" s="11"/>
      <c r="AI102" s="10"/>
      <c r="AJ102" s="8">
        <f t="shared" si="43"/>
        <v>0</v>
      </c>
      <c r="AK102" s="8">
        <f t="shared" si="44"/>
        <v>0</v>
      </c>
      <c r="AL102" s="12"/>
      <c r="AM102" s="1"/>
      <c r="AN102" s="8">
        <f t="shared" si="45"/>
        <v>0</v>
      </c>
      <c r="AO102" s="8">
        <f t="shared" si="46"/>
        <v>0</v>
      </c>
      <c r="AP102" s="13" t="str">
        <f t="shared" si="47"/>
        <v/>
      </c>
      <c r="AQ102" s="1"/>
      <c r="AR102" s="14" t="b">
        <f t="shared" si="48"/>
        <v>0</v>
      </c>
      <c r="AS102" s="14" t="b">
        <f t="shared" si="49"/>
        <v>0</v>
      </c>
      <c r="AT102" s="14" t="b">
        <f t="shared" si="50"/>
        <v>0</v>
      </c>
      <c r="AU102" s="14" t="b">
        <f t="shared" si="51"/>
        <v>0</v>
      </c>
      <c r="AV102" s="14" t="b">
        <f t="shared" si="52"/>
        <v>0</v>
      </c>
      <c r="AW102" s="14" t="b">
        <f t="shared" si="53"/>
        <v>0</v>
      </c>
    </row>
    <row r="103" spans="1:49" ht="15.6" x14ac:dyDescent="0.3">
      <c r="A103" s="54">
        <v>89</v>
      </c>
      <c r="B103" s="55"/>
      <c r="C103" s="56"/>
      <c r="D103" s="68"/>
      <c r="E103" s="145"/>
      <c r="F103" s="143"/>
      <c r="G103" s="8"/>
      <c r="H103" s="8">
        <f t="shared" si="38"/>
        <v>0</v>
      </c>
      <c r="I103" s="11"/>
      <c r="J103" s="10"/>
      <c r="K103" s="143"/>
      <c r="L103" s="8"/>
      <c r="M103" s="8">
        <f t="shared" si="39"/>
        <v>0</v>
      </c>
      <c r="N103" s="11"/>
      <c r="O103" s="10"/>
      <c r="P103" s="15"/>
      <c r="Q103" s="8"/>
      <c r="R103" s="8">
        <f t="shared" si="54"/>
        <v>0</v>
      </c>
      <c r="S103" s="11"/>
      <c r="T103" s="10"/>
      <c r="U103" s="15"/>
      <c r="V103" s="8"/>
      <c r="W103" s="8">
        <f t="shared" si="40"/>
        <v>0</v>
      </c>
      <c r="X103" s="11"/>
      <c r="Y103" s="10"/>
      <c r="Z103" s="15"/>
      <c r="AA103" s="8"/>
      <c r="AB103" s="8">
        <f t="shared" si="41"/>
        <v>0</v>
      </c>
      <c r="AC103" s="11"/>
      <c r="AD103" s="10"/>
      <c r="AE103" s="15"/>
      <c r="AF103" s="8"/>
      <c r="AG103" s="8">
        <f t="shared" si="42"/>
        <v>0</v>
      </c>
      <c r="AH103" s="11"/>
      <c r="AI103" s="10"/>
      <c r="AJ103" s="8">
        <f t="shared" si="43"/>
        <v>0</v>
      </c>
      <c r="AK103" s="8">
        <f t="shared" si="44"/>
        <v>0</v>
      </c>
      <c r="AL103" s="12"/>
      <c r="AM103" s="1"/>
      <c r="AN103" s="8">
        <f t="shared" si="45"/>
        <v>0</v>
      </c>
      <c r="AO103" s="8">
        <f t="shared" si="46"/>
        <v>0</v>
      </c>
      <c r="AP103" s="13" t="str">
        <f t="shared" si="47"/>
        <v/>
      </c>
      <c r="AQ103" s="1"/>
      <c r="AR103" s="14" t="b">
        <f t="shared" si="48"/>
        <v>0</v>
      </c>
      <c r="AS103" s="14" t="b">
        <f t="shared" si="49"/>
        <v>0</v>
      </c>
      <c r="AT103" s="14" t="b">
        <f t="shared" si="50"/>
        <v>0</v>
      </c>
      <c r="AU103" s="14" t="b">
        <f t="shared" si="51"/>
        <v>0</v>
      </c>
      <c r="AV103" s="14" t="b">
        <f t="shared" si="52"/>
        <v>0</v>
      </c>
      <c r="AW103" s="14" t="b">
        <f t="shared" si="53"/>
        <v>0</v>
      </c>
    </row>
    <row r="104" spans="1:49" ht="15.6" x14ac:dyDescent="0.3">
      <c r="A104" s="54">
        <v>90</v>
      </c>
      <c r="B104" s="55"/>
      <c r="C104" s="56"/>
      <c r="D104" s="68"/>
      <c r="E104" s="145"/>
      <c r="F104" s="143"/>
      <c r="G104" s="8"/>
      <c r="H104" s="8">
        <f t="shared" si="38"/>
        <v>0</v>
      </c>
      <c r="I104" s="11"/>
      <c r="J104" s="10"/>
      <c r="K104" s="143"/>
      <c r="L104" s="8"/>
      <c r="M104" s="8">
        <f t="shared" si="39"/>
        <v>0</v>
      </c>
      <c r="N104" s="11"/>
      <c r="O104" s="10"/>
      <c r="P104" s="15"/>
      <c r="Q104" s="8"/>
      <c r="R104" s="8">
        <f t="shared" si="54"/>
        <v>0</v>
      </c>
      <c r="S104" s="11"/>
      <c r="T104" s="10"/>
      <c r="U104" s="15"/>
      <c r="V104" s="8"/>
      <c r="W104" s="8">
        <f t="shared" si="40"/>
        <v>0</v>
      </c>
      <c r="X104" s="11"/>
      <c r="Y104" s="10"/>
      <c r="Z104" s="15"/>
      <c r="AA104" s="8"/>
      <c r="AB104" s="8">
        <f t="shared" si="41"/>
        <v>0</v>
      </c>
      <c r="AC104" s="11"/>
      <c r="AD104" s="10"/>
      <c r="AE104" s="15"/>
      <c r="AF104" s="8"/>
      <c r="AG104" s="8">
        <f t="shared" si="42"/>
        <v>0</v>
      </c>
      <c r="AH104" s="11"/>
      <c r="AI104" s="10"/>
      <c r="AJ104" s="8">
        <f t="shared" si="43"/>
        <v>0</v>
      </c>
      <c r="AK104" s="8">
        <f t="shared" si="44"/>
        <v>0</v>
      </c>
      <c r="AL104" s="12"/>
      <c r="AM104" s="1"/>
      <c r="AN104" s="8">
        <f t="shared" si="45"/>
        <v>0</v>
      </c>
      <c r="AO104" s="8">
        <f t="shared" si="46"/>
        <v>0</v>
      </c>
      <c r="AP104" s="13" t="str">
        <f t="shared" si="47"/>
        <v/>
      </c>
      <c r="AQ104" s="1"/>
      <c r="AR104" s="14" t="b">
        <f t="shared" si="48"/>
        <v>0</v>
      </c>
      <c r="AS104" s="14" t="b">
        <f t="shared" si="49"/>
        <v>0</v>
      </c>
      <c r="AT104" s="14" t="b">
        <f t="shared" si="50"/>
        <v>0</v>
      </c>
      <c r="AU104" s="14" t="b">
        <f t="shared" si="51"/>
        <v>0</v>
      </c>
      <c r="AV104" s="14" t="b">
        <f t="shared" si="52"/>
        <v>0</v>
      </c>
      <c r="AW104" s="14" t="b">
        <f t="shared" si="53"/>
        <v>0</v>
      </c>
    </row>
    <row r="105" spans="1:49" ht="15.6" x14ac:dyDescent="0.3">
      <c r="A105" s="54">
        <v>91</v>
      </c>
      <c r="B105" s="55"/>
      <c r="C105" s="56"/>
      <c r="D105" s="68"/>
      <c r="E105" s="145"/>
      <c r="F105" s="143"/>
      <c r="G105" s="8"/>
      <c r="H105" s="8">
        <f t="shared" si="38"/>
        <v>0</v>
      </c>
      <c r="I105" s="11"/>
      <c r="J105" s="10"/>
      <c r="K105" s="143"/>
      <c r="L105" s="8"/>
      <c r="M105" s="8">
        <f t="shared" si="39"/>
        <v>0</v>
      </c>
      <c r="N105" s="11"/>
      <c r="O105" s="10"/>
      <c r="P105" s="15"/>
      <c r="Q105" s="8"/>
      <c r="R105" s="8">
        <f t="shared" si="54"/>
        <v>0</v>
      </c>
      <c r="S105" s="11"/>
      <c r="T105" s="10"/>
      <c r="U105" s="15"/>
      <c r="V105" s="8"/>
      <c r="W105" s="8">
        <f t="shared" si="40"/>
        <v>0</v>
      </c>
      <c r="X105" s="11"/>
      <c r="Y105" s="10"/>
      <c r="Z105" s="15"/>
      <c r="AA105" s="8"/>
      <c r="AB105" s="8">
        <f t="shared" si="41"/>
        <v>0</v>
      </c>
      <c r="AC105" s="11"/>
      <c r="AD105" s="10"/>
      <c r="AE105" s="15"/>
      <c r="AF105" s="8"/>
      <c r="AG105" s="8">
        <f t="shared" si="42"/>
        <v>0</v>
      </c>
      <c r="AH105" s="11"/>
      <c r="AI105" s="10"/>
      <c r="AJ105" s="8">
        <f t="shared" si="43"/>
        <v>0</v>
      </c>
      <c r="AK105" s="8">
        <f t="shared" si="44"/>
        <v>0</v>
      </c>
      <c r="AL105" s="12"/>
      <c r="AM105" s="1"/>
      <c r="AN105" s="8">
        <f t="shared" si="45"/>
        <v>0</v>
      </c>
      <c r="AO105" s="8">
        <f t="shared" si="46"/>
        <v>0</v>
      </c>
      <c r="AP105" s="13" t="str">
        <f t="shared" si="47"/>
        <v/>
      </c>
      <c r="AQ105" s="1"/>
      <c r="AR105" s="14" t="b">
        <f t="shared" si="48"/>
        <v>0</v>
      </c>
      <c r="AS105" s="14" t="b">
        <f t="shared" si="49"/>
        <v>0</v>
      </c>
      <c r="AT105" s="14" t="b">
        <f t="shared" si="50"/>
        <v>0</v>
      </c>
      <c r="AU105" s="14" t="b">
        <f t="shared" si="51"/>
        <v>0</v>
      </c>
      <c r="AV105" s="14" t="b">
        <f t="shared" si="52"/>
        <v>0</v>
      </c>
      <c r="AW105" s="14" t="b">
        <f t="shared" si="53"/>
        <v>0</v>
      </c>
    </row>
    <row r="106" spans="1:49" ht="15.6" x14ac:dyDescent="0.3">
      <c r="A106" s="54">
        <v>92</v>
      </c>
      <c r="B106" s="55"/>
      <c r="C106" s="56"/>
      <c r="D106" s="68"/>
      <c r="E106" s="145"/>
      <c r="F106" s="143"/>
      <c r="G106" s="8"/>
      <c r="H106" s="8">
        <f t="shared" si="38"/>
        <v>0</v>
      </c>
      <c r="I106" s="11"/>
      <c r="J106" s="10"/>
      <c r="K106" s="143"/>
      <c r="L106" s="8"/>
      <c r="M106" s="8">
        <f t="shared" si="39"/>
        <v>0</v>
      </c>
      <c r="N106" s="11"/>
      <c r="O106" s="10"/>
      <c r="P106" s="15"/>
      <c r="Q106" s="8"/>
      <c r="R106" s="8">
        <f t="shared" si="54"/>
        <v>0</v>
      </c>
      <c r="S106" s="11"/>
      <c r="T106" s="10"/>
      <c r="U106" s="15"/>
      <c r="V106" s="8"/>
      <c r="W106" s="8">
        <f t="shared" si="40"/>
        <v>0</v>
      </c>
      <c r="X106" s="11"/>
      <c r="Y106" s="10"/>
      <c r="Z106" s="15"/>
      <c r="AA106" s="8"/>
      <c r="AB106" s="8">
        <f t="shared" si="41"/>
        <v>0</v>
      </c>
      <c r="AC106" s="11"/>
      <c r="AD106" s="10"/>
      <c r="AE106" s="15"/>
      <c r="AF106" s="8"/>
      <c r="AG106" s="8">
        <f t="shared" si="42"/>
        <v>0</v>
      </c>
      <c r="AH106" s="11"/>
      <c r="AI106" s="10"/>
      <c r="AJ106" s="8">
        <f t="shared" si="43"/>
        <v>0</v>
      </c>
      <c r="AK106" s="8">
        <f t="shared" si="44"/>
        <v>0</v>
      </c>
      <c r="AL106" s="12"/>
      <c r="AM106" s="1"/>
      <c r="AN106" s="8">
        <f t="shared" si="45"/>
        <v>0</v>
      </c>
      <c r="AO106" s="8">
        <f t="shared" si="46"/>
        <v>0</v>
      </c>
      <c r="AP106" s="13" t="str">
        <f t="shared" si="47"/>
        <v/>
      </c>
      <c r="AQ106" s="1"/>
      <c r="AR106" s="14" t="b">
        <f t="shared" si="48"/>
        <v>0</v>
      </c>
      <c r="AS106" s="14" t="b">
        <f t="shared" si="49"/>
        <v>0</v>
      </c>
      <c r="AT106" s="14" t="b">
        <f t="shared" si="50"/>
        <v>0</v>
      </c>
      <c r="AU106" s="14" t="b">
        <f t="shared" si="51"/>
        <v>0</v>
      </c>
      <c r="AV106" s="14" t="b">
        <f t="shared" si="52"/>
        <v>0</v>
      </c>
      <c r="AW106" s="14" t="b">
        <f t="shared" si="53"/>
        <v>0</v>
      </c>
    </row>
    <row r="107" spans="1:49" ht="15.6" x14ac:dyDescent="0.3">
      <c r="A107" s="54">
        <v>93</v>
      </c>
      <c r="B107" s="55"/>
      <c r="C107" s="56"/>
      <c r="D107" s="68"/>
      <c r="E107" s="145"/>
      <c r="F107" s="143"/>
      <c r="G107" s="8"/>
      <c r="H107" s="8">
        <f t="shared" si="38"/>
        <v>0</v>
      </c>
      <c r="I107" s="11"/>
      <c r="J107" s="10"/>
      <c r="K107" s="143"/>
      <c r="L107" s="8"/>
      <c r="M107" s="8">
        <f t="shared" si="39"/>
        <v>0</v>
      </c>
      <c r="N107" s="11"/>
      <c r="O107" s="10"/>
      <c r="P107" s="15"/>
      <c r="Q107" s="8"/>
      <c r="R107" s="8">
        <f t="shared" si="54"/>
        <v>0</v>
      </c>
      <c r="S107" s="11"/>
      <c r="T107" s="10"/>
      <c r="U107" s="15"/>
      <c r="V107" s="8"/>
      <c r="W107" s="8">
        <f t="shared" si="40"/>
        <v>0</v>
      </c>
      <c r="X107" s="11"/>
      <c r="Y107" s="10"/>
      <c r="Z107" s="15"/>
      <c r="AA107" s="8"/>
      <c r="AB107" s="8">
        <f t="shared" si="41"/>
        <v>0</v>
      </c>
      <c r="AC107" s="11"/>
      <c r="AD107" s="10"/>
      <c r="AE107" s="15"/>
      <c r="AF107" s="8"/>
      <c r="AG107" s="8">
        <f t="shared" si="42"/>
        <v>0</v>
      </c>
      <c r="AH107" s="11"/>
      <c r="AI107" s="10"/>
      <c r="AJ107" s="8">
        <f t="shared" si="43"/>
        <v>0</v>
      </c>
      <c r="AK107" s="8">
        <f t="shared" si="44"/>
        <v>0</v>
      </c>
      <c r="AL107" s="12"/>
      <c r="AM107" s="1"/>
      <c r="AN107" s="8">
        <f t="shared" si="45"/>
        <v>0</v>
      </c>
      <c r="AO107" s="8">
        <f t="shared" si="46"/>
        <v>0</v>
      </c>
      <c r="AP107" s="13" t="str">
        <f t="shared" si="47"/>
        <v/>
      </c>
      <c r="AQ107" s="1"/>
      <c r="AR107" s="14" t="b">
        <f t="shared" si="48"/>
        <v>0</v>
      </c>
      <c r="AS107" s="14" t="b">
        <f t="shared" si="49"/>
        <v>0</v>
      </c>
      <c r="AT107" s="14" t="b">
        <f t="shared" si="50"/>
        <v>0</v>
      </c>
      <c r="AU107" s="14" t="b">
        <f t="shared" si="51"/>
        <v>0</v>
      </c>
      <c r="AV107" s="14" t="b">
        <f t="shared" si="52"/>
        <v>0</v>
      </c>
      <c r="AW107" s="14" t="b">
        <f t="shared" si="53"/>
        <v>0</v>
      </c>
    </row>
    <row r="108" spans="1:49" ht="15.6" x14ac:dyDescent="0.3">
      <c r="A108" s="54">
        <v>94</v>
      </c>
      <c r="B108" s="55"/>
      <c r="C108" s="56"/>
      <c r="D108" s="68"/>
      <c r="E108" s="145"/>
      <c r="F108" s="143"/>
      <c r="G108" s="8"/>
      <c r="H108" s="8">
        <f t="shared" si="38"/>
        <v>0</v>
      </c>
      <c r="I108" s="11"/>
      <c r="J108" s="10"/>
      <c r="K108" s="143"/>
      <c r="L108" s="8"/>
      <c r="M108" s="8">
        <f t="shared" si="39"/>
        <v>0</v>
      </c>
      <c r="N108" s="11"/>
      <c r="O108" s="10"/>
      <c r="P108" s="15"/>
      <c r="Q108" s="8"/>
      <c r="R108" s="8">
        <f t="shared" si="54"/>
        <v>0</v>
      </c>
      <c r="S108" s="11"/>
      <c r="T108" s="10"/>
      <c r="U108" s="15"/>
      <c r="V108" s="8"/>
      <c r="W108" s="8">
        <f t="shared" si="40"/>
        <v>0</v>
      </c>
      <c r="X108" s="11"/>
      <c r="Y108" s="10"/>
      <c r="Z108" s="15"/>
      <c r="AA108" s="8"/>
      <c r="AB108" s="8">
        <f t="shared" si="41"/>
        <v>0</v>
      </c>
      <c r="AC108" s="11"/>
      <c r="AD108" s="10"/>
      <c r="AE108" s="15"/>
      <c r="AF108" s="8"/>
      <c r="AG108" s="8">
        <f t="shared" si="42"/>
        <v>0</v>
      </c>
      <c r="AH108" s="11"/>
      <c r="AI108" s="10"/>
      <c r="AJ108" s="8">
        <f t="shared" si="43"/>
        <v>0</v>
      </c>
      <c r="AK108" s="8">
        <f t="shared" si="44"/>
        <v>0</v>
      </c>
      <c r="AL108" s="12"/>
      <c r="AM108" s="1"/>
      <c r="AN108" s="8">
        <f t="shared" si="45"/>
        <v>0</v>
      </c>
      <c r="AO108" s="8">
        <f t="shared" si="46"/>
        <v>0</v>
      </c>
      <c r="AP108" s="13" t="str">
        <f t="shared" si="47"/>
        <v/>
      </c>
      <c r="AQ108" s="1"/>
      <c r="AR108" s="14" t="b">
        <f t="shared" si="48"/>
        <v>0</v>
      </c>
      <c r="AS108" s="14" t="b">
        <f t="shared" si="49"/>
        <v>0</v>
      </c>
      <c r="AT108" s="14" t="b">
        <f t="shared" si="50"/>
        <v>0</v>
      </c>
      <c r="AU108" s="14" t="b">
        <f t="shared" si="51"/>
        <v>0</v>
      </c>
      <c r="AV108" s="14" t="b">
        <f t="shared" si="52"/>
        <v>0</v>
      </c>
      <c r="AW108" s="14" t="b">
        <f t="shared" si="53"/>
        <v>0</v>
      </c>
    </row>
    <row r="109" spans="1:49" ht="15.6" x14ac:dyDescent="0.3">
      <c r="A109" s="54">
        <v>95</v>
      </c>
      <c r="B109" s="57"/>
      <c r="C109" s="58"/>
      <c r="D109" s="68"/>
      <c r="E109" s="145"/>
      <c r="F109" s="143"/>
      <c r="G109" s="8"/>
      <c r="H109" s="8">
        <f t="shared" si="38"/>
        <v>0</v>
      </c>
      <c r="I109" s="9"/>
      <c r="J109" s="10"/>
      <c r="K109" s="143"/>
      <c r="L109" s="8"/>
      <c r="M109" s="8">
        <f t="shared" si="39"/>
        <v>0</v>
      </c>
      <c r="N109" s="11"/>
      <c r="O109" s="10"/>
      <c r="P109" s="15"/>
      <c r="Q109" s="8"/>
      <c r="R109" s="8">
        <f t="shared" si="54"/>
        <v>0</v>
      </c>
      <c r="S109" s="11"/>
      <c r="T109" s="10"/>
      <c r="U109" s="15"/>
      <c r="V109" s="8"/>
      <c r="W109" s="8">
        <f t="shared" si="40"/>
        <v>0</v>
      </c>
      <c r="X109" s="11"/>
      <c r="Y109" s="10"/>
      <c r="Z109" s="15"/>
      <c r="AA109" s="8"/>
      <c r="AB109" s="8">
        <f t="shared" si="41"/>
        <v>0</v>
      </c>
      <c r="AC109" s="11"/>
      <c r="AD109" s="10"/>
      <c r="AE109" s="15"/>
      <c r="AF109" s="8"/>
      <c r="AG109" s="8">
        <f t="shared" si="42"/>
        <v>0</v>
      </c>
      <c r="AH109" s="11"/>
      <c r="AI109" s="10"/>
      <c r="AJ109" s="8">
        <f t="shared" si="43"/>
        <v>0</v>
      </c>
      <c r="AK109" s="8">
        <f t="shared" si="44"/>
        <v>0</v>
      </c>
      <c r="AL109" s="12"/>
      <c r="AM109" s="1"/>
      <c r="AN109" s="8">
        <f t="shared" si="45"/>
        <v>0</v>
      </c>
      <c r="AO109" s="8">
        <f t="shared" si="46"/>
        <v>0</v>
      </c>
      <c r="AP109" s="13" t="str">
        <f t="shared" si="47"/>
        <v/>
      </c>
      <c r="AQ109" s="1"/>
      <c r="AR109" s="14" t="b">
        <f t="shared" si="48"/>
        <v>0</v>
      </c>
      <c r="AS109" s="14" t="b">
        <f t="shared" si="49"/>
        <v>0</v>
      </c>
      <c r="AT109" s="14" t="b">
        <f t="shared" si="50"/>
        <v>0</v>
      </c>
      <c r="AU109" s="14" t="b">
        <f t="shared" si="51"/>
        <v>0</v>
      </c>
      <c r="AV109" s="14" t="b">
        <f t="shared" si="52"/>
        <v>0</v>
      </c>
      <c r="AW109" s="14" t="b">
        <f t="shared" si="53"/>
        <v>0</v>
      </c>
    </row>
    <row r="110" spans="1:49" ht="15.6" x14ac:dyDescent="0.3">
      <c r="A110" s="54">
        <v>96</v>
      </c>
      <c r="B110" s="57"/>
      <c r="C110" s="59"/>
      <c r="D110" s="68"/>
      <c r="E110" s="145"/>
      <c r="F110" s="143"/>
      <c r="G110" s="8"/>
      <c r="H110" s="8">
        <f t="shared" si="38"/>
        <v>0</v>
      </c>
      <c r="I110" s="9"/>
      <c r="J110" s="10"/>
      <c r="K110" s="143"/>
      <c r="L110" s="8"/>
      <c r="M110" s="8">
        <f t="shared" si="39"/>
        <v>0</v>
      </c>
      <c r="N110" s="11"/>
      <c r="O110" s="10"/>
      <c r="P110" s="15"/>
      <c r="Q110" s="8"/>
      <c r="R110" s="8">
        <f t="shared" si="54"/>
        <v>0</v>
      </c>
      <c r="S110" s="11"/>
      <c r="T110" s="10"/>
      <c r="U110" s="15"/>
      <c r="V110" s="8"/>
      <c r="W110" s="8">
        <f t="shared" si="40"/>
        <v>0</v>
      </c>
      <c r="X110" s="11"/>
      <c r="Y110" s="10"/>
      <c r="Z110" s="15"/>
      <c r="AA110" s="8"/>
      <c r="AB110" s="8">
        <f t="shared" si="41"/>
        <v>0</v>
      </c>
      <c r="AC110" s="11"/>
      <c r="AD110" s="10"/>
      <c r="AE110" s="15"/>
      <c r="AF110" s="8"/>
      <c r="AG110" s="8">
        <f t="shared" si="42"/>
        <v>0</v>
      </c>
      <c r="AH110" s="11"/>
      <c r="AI110" s="10"/>
      <c r="AJ110" s="8">
        <f t="shared" si="43"/>
        <v>0</v>
      </c>
      <c r="AK110" s="8">
        <f t="shared" si="44"/>
        <v>0</v>
      </c>
      <c r="AL110" s="12"/>
      <c r="AM110" s="1"/>
      <c r="AN110" s="8">
        <f t="shared" si="45"/>
        <v>0</v>
      </c>
      <c r="AO110" s="8">
        <f t="shared" si="46"/>
        <v>0</v>
      </c>
      <c r="AP110" s="13" t="str">
        <f t="shared" si="47"/>
        <v/>
      </c>
      <c r="AQ110" s="1"/>
      <c r="AR110" s="14" t="b">
        <f t="shared" si="48"/>
        <v>0</v>
      </c>
      <c r="AS110" s="14" t="b">
        <f t="shared" si="49"/>
        <v>0</v>
      </c>
      <c r="AT110" s="14" t="b">
        <f t="shared" si="50"/>
        <v>0</v>
      </c>
      <c r="AU110" s="14" t="b">
        <f t="shared" si="51"/>
        <v>0</v>
      </c>
      <c r="AV110" s="14" t="b">
        <f t="shared" si="52"/>
        <v>0</v>
      </c>
      <c r="AW110" s="14" t="b">
        <f t="shared" si="53"/>
        <v>0</v>
      </c>
    </row>
    <row r="111" spans="1:49" ht="15.6" x14ac:dyDescent="0.3">
      <c r="A111" s="54">
        <v>97</v>
      </c>
      <c r="B111" s="59"/>
      <c r="C111" s="60"/>
      <c r="D111" s="68"/>
      <c r="E111" s="145"/>
      <c r="F111" s="143"/>
      <c r="G111" s="8"/>
      <c r="H111" s="8">
        <f t="shared" ref="H111:H114" si="55">F111*G111</f>
        <v>0</v>
      </c>
      <c r="I111" s="9"/>
      <c r="J111" s="10"/>
      <c r="K111" s="143"/>
      <c r="L111" s="8"/>
      <c r="M111" s="8">
        <f t="shared" ref="M111:M114" si="56">K111*L111</f>
        <v>0</v>
      </c>
      <c r="N111" s="11"/>
      <c r="O111" s="10"/>
      <c r="P111" s="15"/>
      <c r="Q111" s="8"/>
      <c r="R111" s="8">
        <f t="shared" si="54"/>
        <v>0</v>
      </c>
      <c r="S111" s="11"/>
      <c r="T111" s="10"/>
      <c r="U111" s="15"/>
      <c r="V111" s="8"/>
      <c r="W111" s="8">
        <f t="shared" ref="W111:W114" si="57">U111*V111</f>
        <v>0</v>
      </c>
      <c r="X111" s="11"/>
      <c r="Y111" s="10"/>
      <c r="Z111" s="15"/>
      <c r="AA111" s="8"/>
      <c r="AB111" s="8">
        <f t="shared" ref="AB111:AB114" si="58">Z111*AA111</f>
        <v>0</v>
      </c>
      <c r="AC111" s="11"/>
      <c r="AD111" s="10"/>
      <c r="AE111" s="15"/>
      <c r="AF111" s="8"/>
      <c r="AG111" s="8">
        <f t="shared" ref="AG111:AG114" si="59">AE111*AF111</f>
        <v>0</v>
      </c>
      <c r="AH111" s="11"/>
      <c r="AI111" s="10"/>
      <c r="AJ111" s="8">
        <f t="shared" si="43"/>
        <v>0</v>
      </c>
      <c r="AK111" s="8">
        <f t="shared" ref="AK111:AK114" si="60">AJ111*C111</f>
        <v>0</v>
      </c>
      <c r="AL111" s="12"/>
      <c r="AM111" s="1"/>
      <c r="AN111" s="8">
        <f t="shared" si="45"/>
        <v>0</v>
      </c>
      <c r="AO111" s="8">
        <f t="shared" ref="AO111:AO114" si="61">AN111*C111</f>
        <v>0</v>
      </c>
      <c r="AP111" s="13" t="str">
        <f t="shared" si="47"/>
        <v/>
      </c>
      <c r="AQ111" s="1"/>
      <c r="AR111" s="14" t="b">
        <f t="shared" si="48"/>
        <v>0</v>
      </c>
      <c r="AS111" s="14" t="b">
        <f t="shared" si="49"/>
        <v>0</v>
      </c>
      <c r="AT111" s="14" t="b">
        <f t="shared" si="50"/>
        <v>0</v>
      </c>
      <c r="AU111" s="14" t="b">
        <f t="shared" si="51"/>
        <v>0</v>
      </c>
      <c r="AV111" s="14" t="b">
        <f t="shared" si="52"/>
        <v>0</v>
      </c>
      <c r="AW111" s="14" t="b">
        <f t="shared" si="53"/>
        <v>0</v>
      </c>
    </row>
    <row r="112" spans="1:49" ht="15.6" x14ac:dyDescent="0.3">
      <c r="A112" s="54">
        <v>98</v>
      </c>
      <c r="B112" s="59"/>
      <c r="C112" s="59"/>
      <c r="D112" s="68"/>
      <c r="E112" s="145"/>
      <c r="F112" s="143"/>
      <c r="G112" s="8"/>
      <c r="H112" s="8">
        <f t="shared" si="55"/>
        <v>0</v>
      </c>
      <c r="I112" s="9"/>
      <c r="J112" s="10"/>
      <c r="K112" s="143"/>
      <c r="L112" s="8"/>
      <c r="M112" s="8">
        <f t="shared" si="56"/>
        <v>0</v>
      </c>
      <c r="N112" s="11"/>
      <c r="O112" s="10"/>
      <c r="P112" s="15"/>
      <c r="Q112" s="8"/>
      <c r="R112" s="8">
        <f t="shared" ref="R112:R114" si="62">P112*Q112</f>
        <v>0</v>
      </c>
      <c r="S112" s="11"/>
      <c r="T112" s="10"/>
      <c r="U112" s="15"/>
      <c r="V112" s="8"/>
      <c r="W112" s="8">
        <f t="shared" si="57"/>
        <v>0</v>
      </c>
      <c r="X112" s="11"/>
      <c r="Y112" s="10"/>
      <c r="Z112" s="15"/>
      <c r="AA112" s="8"/>
      <c r="AB112" s="8">
        <f t="shared" si="58"/>
        <v>0</v>
      </c>
      <c r="AC112" s="11"/>
      <c r="AD112" s="10"/>
      <c r="AE112" s="15"/>
      <c r="AF112" s="8"/>
      <c r="AG112" s="8">
        <f t="shared" si="59"/>
        <v>0</v>
      </c>
      <c r="AH112" s="11"/>
      <c r="AI112" s="10"/>
      <c r="AJ112" s="8">
        <f t="shared" si="43"/>
        <v>0</v>
      </c>
      <c r="AK112" s="8">
        <f t="shared" si="60"/>
        <v>0</v>
      </c>
      <c r="AL112" s="12"/>
      <c r="AM112" s="1"/>
      <c r="AN112" s="8">
        <f t="shared" si="45"/>
        <v>0</v>
      </c>
      <c r="AO112" s="8">
        <f t="shared" si="61"/>
        <v>0</v>
      </c>
      <c r="AP112" s="13" t="str">
        <f t="shared" si="47"/>
        <v/>
      </c>
      <c r="AQ112" s="1"/>
      <c r="AR112" s="14" t="b">
        <f t="shared" si="48"/>
        <v>0</v>
      </c>
      <c r="AS112" s="14" t="b">
        <f t="shared" si="49"/>
        <v>0</v>
      </c>
      <c r="AT112" s="14" t="b">
        <f t="shared" si="50"/>
        <v>0</v>
      </c>
      <c r="AU112" s="14" t="b">
        <f t="shared" si="51"/>
        <v>0</v>
      </c>
      <c r="AV112" s="14" t="b">
        <f t="shared" si="52"/>
        <v>0</v>
      </c>
      <c r="AW112" s="14" t="b">
        <f t="shared" si="53"/>
        <v>0</v>
      </c>
    </row>
    <row r="113" spans="1:49" ht="15.6" x14ac:dyDescent="0.3">
      <c r="A113" s="54">
        <v>99</v>
      </c>
      <c r="B113" s="59"/>
      <c r="C113" s="59"/>
      <c r="D113" s="68"/>
      <c r="E113" s="145"/>
      <c r="F113" s="143"/>
      <c r="G113" s="8"/>
      <c r="H113" s="8">
        <f t="shared" si="55"/>
        <v>0</v>
      </c>
      <c r="I113" s="9"/>
      <c r="J113" s="10"/>
      <c r="K113" s="143"/>
      <c r="L113" s="8"/>
      <c r="M113" s="8">
        <f t="shared" si="56"/>
        <v>0</v>
      </c>
      <c r="N113" s="11"/>
      <c r="O113" s="10"/>
      <c r="P113" s="15"/>
      <c r="Q113" s="8"/>
      <c r="R113" s="8">
        <f t="shared" si="62"/>
        <v>0</v>
      </c>
      <c r="S113" s="11"/>
      <c r="T113" s="10"/>
      <c r="U113" s="15"/>
      <c r="V113" s="8"/>
      <c r="W113" s="8">
        <f t="shared" si="57"/>
        <v>0</v>
      </c>
      <c r="X113" s="11"/>
      <c r="Y113" s="10"/>
      <c r="Z113" s="15"/>
      <c r="AA113" s="8"/>
      <c r="AB113" s="8">
        <f t="shared" si="58"/>
        <v>0</v>
      </c>
      <c r="AC113" s="11"/>
      <c r="AD113" s="10"/>
      <c r="AE113" s="15"/>
      <c r="AF113" s="8"/>
      <c r="AG113" s="8">
        <f t="shared" si="59"/>
        <v>0</v>
      </c>
      <c r="AH113" s="11"/>
      <c r="AI113" s="10"/>
      <c r="AJ113" s="8">
        <f t="shared" si="43"/>
        <v>0</v>
      </c>
      <c r="AK113" s="8">
        <f t="shared" si="60"/>
        <v>0</v>
      </c>
      <c r="AL113" s="12"/>
      <c r="AM113" s="1"/>
      <c r="AN113" s="8">
        <f t="shared" si="45"/>
        <v>0</v>
      </c>
      <c r="AO113" s="8">
        <f t="shared" si="61"/>
        <v>0</v>
      </c>
      <c r="AP113" s="13" t="str">
        <f t="shared" si="47"/>
        <v/>
      </c>
      <c r="AQ113" s="1"/>
      <c r="AR113" s="14" t="b">
        <f t="shared" si="48"/>
        <v>0</v>
      </c>
      <c r="AS113" s="14" t="b">
        <f t="shared" si="49"/>
        <v>0</v>
      </c>
      <c r="AT113" s="14" t="b">
        <f t="shared" si="50"/>
        <v>0</v>
      </c>
      <c r="AU113" s="14" t="b">
        <f t="shared" si="51"/>
        <v>0</v>
      </c>
      <c r="AV113" s="14" t="b">
        <f t="shared" si="52"/>
        <v>0</v>
      </c>
      <c r="AW113" s="14" t="b">
        <f t="shared" si="53"/>
        <v>0</v>
      </c>
    </row>
    <row r="114" spans="1:49" ht="15.6" x14ac:dyDescent="0.3">
      <c r="A114" s="61">
        <v>100</v>
      </c>
      <c r="B114" s="62"/>
      <c r="C114" s="62"/>
      <c r="D114" s="69"/>
      <c r="E114" s="145"/>
      <c r="F114" s="143"/>
      <c r="G114" s="8"/>
      <c r="H114" s="8">
        <f t="shared" si="55"/>
        <v>0</v>
      </c>
      <c r="I114" s="9"/>
      <c r="J114" s="10"/>
      <c r="K114" s="143"/>
      <c r="L114" s="8"/>
      <c r="M114" s="8">
        <f t="shared" si="56"/>
        <v>0</v>
      </c>
      <c r="N114" s="11"/>
      <c r="O114" s="10"/>
      <c r="P114" s="15"/>
      <c r="Q114" s="8"/>
      <c r="R114" s="8">
        <f t="shared" si="62"/>
        <v>0</v>
      </c>
      <c r="S114" s="11"/>
      <c r="T114" s="10"/>
      <c r="U114" s="15"/>
      <c r="V114" s="8"/>
      <c r="W114" s="8">
        <f t="shared" si="57"/>
        <v>0</v>
      </c>
      <c r="X114" s="11"/>
      <c r="Y114" s="10"/>
      <c r="Z114" s="15"/>
      <c r="AA114" s="8"/>
      <c r="AB114" s="8">
        <f t="shared" si="58"/>
        <v>0</v>
      </c>
      <c r="AC114" s="11"/>
      <c r="AD114" s="10"/>
      <c r="AE114" s="15"/>
      <c r="AF114" s="8"/>
      <c r="AG114" s="8">
        <f t="shared" si="59"/>
        <v>0</v>
      </c>
      <c r="AH114" s="11"/>
      <c r="AI114" s="10"/>
      <c r="AJ114" s="8">
        <f t="shared" si="43"/>
        <v>0</v>
      </c>
      <c r="AK114" s="8">
        <f t="shared" si="60"/>
        <v>0</v>
      </c>
      <c r="AL114" s="12"/>
      <c r="AM114" s="1"/>
      <c r="AN114" s="8">
        <f t="shared" si="45"/>
        <v>0</v>
      </c>
      <c r="AO114" s="8">
        <f t="shared" si="61"/>
        <v>0</v>
      </c>
      <c r="AP114" s="13" t="str">
        <f t="shared" si="47"/>
        <v/>
      </c>
      <c r="AQ114" s="1"/>
      <c r="AR114" s="14" t="b">
        <f t="shared" si="48"/>
        <v>0</v>
      </c>
      <c r="AS114" s="14" t="b">
        <f t="shared" si="49"/>
        <v>0</v>
      </c>
      <c r="AT114" s="14" t="b">
        <f t="shared" si="50"/>
        <v>0</v>
      </c>
      <c r="AU114" s="14" t="b">
        <f t="shared" si="51"/>
        <v>0</v>
      </c>
      <c r="AV114" s="14" t="b">
        <f t="shared" si="52"/>
        <v>0</v>
      </c>
      <c r="AW114" s="14" t="b">
        <f t="shared" si="53"/>
        <v>0</v>
      </c>
    </row>
    <row r="115" spans="1:49" ht="18" x14ac:dyDescent="0.3">
      <c r="E115" s="20"/>
    </row>
  </sheetData>
  <autoFilter ref="A14:BA114" xr:uid="{00000000-0009-0000-0000-000001000000}">
    <sortState xmlns:xlrd2="http://schemas.microsoft.com/office/spreadsheetml/2017/richdata2" ref="A15:BA114">
      <sortCondition ref="F14:F114"/>
    </sortState>
  </autoFilter>
  <mergeCells count="6">
    <mergeCell ref="Z13:AC13"/>
    <mergeCell ref="B10:B11"/>
    <mergeCell ref="U13:X13"/>
    <mergeCell ref="F13:I13"/>
    <mergeCell ref="K13:N13"/>
    <mergeCell ref="P13:S13"/>
  </mergeCells>
  <conditionalFormatting sqref="AR15:AW114">
    <cfRule type="expression" dxfId="0" priority="2">
      <formula>AR15=MIN($AR15:$AW15)</formula>
    </cfRule>
  </conditionalFormatting>
  <dataValidations count="3">
    <dataValidation type="list" allowBlank="1" showInputMessage="1" showErrorMessage="1" sqref="B4" xr:uid="{00000000-0002-0000-0100-000000000000}">
      <formula1>INDIRECT("Requisitante")</formula1>
    </dataValidation>
    <dataValidation type="list" allowBlank="1" showInputMessage="1" showErrorMessage="1" sqref="B6" xr:uid="{00000000-0002-0000-0100-000001000000}">
      <formula1>INDIRECT("Comprador")</formula1>
    </dataValidation>
    <dataValidation type="list" allowBlank="1" showInputMessage="1" showErrorMessage="1" sqref="B8" xr:uid="{00000000-0002-0000-0100-000002000000}">
      <formula1>INDIRECT("Local_Entrega")</formula1>
    </dataValidation>
  </dataValidations>
  <pageMargins left="0.23622047244094491" right="0.23622047244094491" top="0.74803149606299213" bottom="0.74803149606299213" header="0.31496062992125984" footer="0.31496062992125984"/>
  <pageSetup paperSize="9" scale="27" orientation="landscape" useFirstPageNumber="1" horizontalDpi="4294967293" r:id="rId1"/>
  <rowBreaks count="1" manualBreakCount="1">
    <brk id="35" max="4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Gerar_Pedido">
                <anchor moveWithCells="1">
                  <from>
                    <xdr:col>0</xdr:col>
                    <xdr:colOff>60960</xdr:colOff>
                    <xdr:row>9</xdr:row>
                    <xdr:rowOff>0</xdr:rowOff>
                  </from>
                  <to>
                    <xdr:col>0</xdr:col>
                    <xdr:colOff>762000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100-000003000000}">
          <x14:formula1>
            <xm:f>Validação!$C$2:$C$28</xm:f>
          </x14:formula1>
          <xm:sqref>B5</xm:sqref>
        </x14:dataValidation>
        <x14:dataValidation type="list" allowBlank="1" showInputMessage="1" showErrorMessage="1" xr:uid="{00000000-0002-0000-0100-000004000000}">
          <x14:formula1>
            <xm:f>Validação!$N$2:$N$8</xm:f>
          </x14:formula1>
          <xm:sqref>H5 AG5 M5 W5 AB5 R5</xm:sqref>
        </x14:dataValidation>
        <x14:dataValidation type="list" allowBlank="1" showInputMessage="1" showErrorMessage="1" xr:uid="{00000000-0002-0000-0100-000005000000}">
          <x14:formula1>
            <xm:f>Validação!$P$2:$P$16</xm:f>
          </x14:formula1>
          <xm:sqref>AG6 AB6 W6 M6 H6 R6</xm:sqref>
        </x14:dataValidation>
        <x14:dataValidation type="list" allowBlank="1" showInputMessage="1" showErrorMessage="1" xr:uid="{00000000-0002-0000-0100-000006000000}">
          <x14:formula1>
            <xm:f>Validação!$F$2:$F$8</xm:f>
          </x14:formula1>
          <xm:sqref>D15:D114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EF0DFD-DF0F-426C-B8E6-CB2BEA5CC48C}">
  <dimension ref="G1:H27"/>
  <sheetViews>
    <sheetView topLeftCell="A10" workbookViewId="0">
      <selection activeCell="G1" sqref="G1:H27"/>
    </sheetView>
  </sheetViews>
  <sheetFormatPr defaultRowHeight="14.4" x14ac:dyDescent="0.3"/>
  <sheetData>
    <row r="1" spans="7:8" ht="14.4" customHeight="1" x14ac:dyDescent="0.3">
      <c r="G1" s="176" t="s">
        <v>201</v>
      </c>
      <c r="H1" s="177">
        <v>10</v>
      </c>
    </row>
    <row r="2" spans="7:8" ht="14.4" customHeight="1" x14ac:dyDescent="0.3">
      <c r="G2" s="176" t="s">
        <v>202</v>
      </c>
      <c r="H2" s="177">
        <v>50</v>
      </c>
    </row>
    <row r="3" spans="7:8" ht="14.4" customHeight="1" x14ac:dyDescent="0.3">
      <c r="G3" s="176" t="s">
        <v>203</v>
      </c>
      <c r="H3" s="177">
        <v>50</v>
      </c>
    </row>
    <row r="4" spans="7:8" ht="14.4" customHeight="1" x14ac:dyDescent="0.3">
      <c r="G4" s="176" t="s">
        <v>204</v>
      </c>
      <c r="H4" s="177">
        <v>50</v>
      </c>
    </row>
    <row r="5" spans="7:8" ht="14.4" customHeight="1" x14ac:dyDescent="0.3">
      <c r="G5" s="176" t="s">
        <v>205</v>
      </c>
      <c r="H5" s="177">
        <v>10</v>
      </c>
    </row>
    <row r="6" spans="7:8" ht="14.4" customHeight="1" x14ac:dyDescent="0.3">
      <c r="G6" s="176" t="s">
        <v>206</v>
      </c>
      <c r="H6" s="177">
        <v>5</v>
      </c>
    </row>
    <row r="7" spans="7:8" ht="14.4" customHeight="1" x14ac:dyDescent="0.3">
      <c r="G7" s="176" t="s">
        <v>207</v>
      </c>
      <c r="H7" s="177">
        <v>10</v>
      </c>
    </row>
    <row r="8" spans="7:8" ht="14.4" customHeight="1" x14ac:dyDescent="0.3">
      <c r="G8" s="176" t="s">
        <v>208</v>
      </c>
      <c r="H8" s="177">
        <v>10</v>
      </c>
    </row>
    <row r="9" spans="7:8" ht="14.4" customHeight="1" x14ac:dyDescent="0.3">
      <c r="G9" s="176" t="s">
        <v>209</v>
      </c>
      <c r="H9" s="177">
        <v>10</v>
      </c>
    </row>
    <row r="10" spans="7:8" ht="14.4" customHeight="1" x14ac:dyDescent="0.3">
      <c r="G10" s="176" t="s">
        <v>210</v>
      </c>
      <c r="H10" s="177">
        <v>10</v>
      </c>
    </row>
    <row r="11" spans="7:8" ht="14.4" customHeight="1" x14ac:dyDescent="0.3">
      <c r="G11" s="176" t="s">
        <v>211</v>
      </c>
      <c r="H11" s="177">
        <v>10</v>
      </c>
    </row>
    <row r="12" spans="7:8" ht="14.4" customHeight="1" x14ac:dyDescent="0.3">
      <c r="G12" s="176" t="s">
        <v>212</v>
      </c>
      <c r="H12" s="177">
        <v>5</v>
      </c>
    </row>
    <row r="13" spans="7:8" ht="14.4" customHeight="1" x14ac:dyDescent="0.3">
      <c r="G13" s="176" t="s">
        <v>213</v>
      </c>
      <c r="H13" s="177">
        <v>2</v>
      </c>
    </row>
    <row r="14" spans="7:8" ht="14.4" customHeight="1" x14ac:dyDescent="0.3">
      <c r="G14" s="176" t="s">
        <v>214</v>
      </c>
      <c r="H14" s="177">
        <v>10</v>
      </c>
    </row>
    <row r="15" spans="7:8" ht="14.4" customHeight="1" x14ac:dyDescent="0.3">
      <c r="G15" s="176" t="s">
        <v>215</v>
      </c>
      <c r="H15" s="177">
        <v>20</v>
      </c>
    </row>
    <row r="16" spans="7:8" ht="14.4" customHeight="1" x14ac:dyDescent="0.3">
      <c r="G16" s="176" t="s">
        <v>216</v>
      </c>
      <c r="H16" s="177">
        <v>20</v>
      </c>
    </row>
    <row r="17" spans="7:8" x14ac:dyDescent="0.3">
      <c r="G17" s="176" t="s">
        <v>217</v>
      </c>
      <c r="H17" s="177">
        <v>10</v>
      </c>
    </row>
    <row r="18" spans="7:8" ht="14.4" customHeight="1" x14ac:dyDescent="0.3">
      <c r="G18" s="176" t="s">
        <v>218</v>
      </c>
      <c r="H18" s="177">
        <v>10</v>
      </c>
    </row>
    <row r="19" spans="7:8" ht="14.4" customHeight="1" x14ac:dyDescent="0.3">
      <c r="G19" s="176" t="s">
        <v>219</v>
      </c>
      <c r="H19" s="177">
        <v>10</v>
      </c>
    </row>
    <row r="20" spans="7:8" ht="14.4" customHeight="1" x14ac:dyDescent="0.3">
      <c r="G20" s="176" t="s">
        <v>220</v>
      </c>
      <c r="H20" s="177">
        <v>8</v>
      </c>
    </row>
    <row r="21" spans="7:8" ht="14.4" customHeight="1" x14ac:dyDescent="0.3">
      <c r="G21" s="176" t="s">
        <v>221</v>
      </c>
      <c r="H21" s="177">
        <v>2</v>
      </c>
    </row>
    <row r="22" spans="7:8" ht="14.4" customHeight="1" x14ac:dyDescent="0.3">
      <c r="G22" s="176" t="s">
        <v>222</v>
      </c>
      <c r="H22" s="177">
        <v>2</v>
      </c>
    </row>
    <row r="23" spans="7:8" ht="14.4" customHeight="1" x14ac:dyDescent="0.3">
      <c r="G23" s="176" t="s">
        <v>223</v>
      </c>
      <c r="H23" s="177">
        <v>2</v>
      </c>
    </row>
    <row r="24" spans="7:8" ht="14.4" customHeight="1" x14ac:dyDescent="0.3">
      <c r="G24" s="176" t="s">
        <v>224</v>
      </c>
      <c r="H24" s="177">
        <v>2</v>
      </c>
    </row>
    <row r="25" spans="7:8" ht="14.4" customHeight="1" x14ac:dyDescent="0.3">
      <c r="G25" s="176" t="s">
        <v>225</v>
      </c>
      <c r="H25" s="177">
        <v>5</v>
      </c>
    </row>
    <row r="26" spans="7:8" ht="14.4" customHeight="1" x14ac:dyDescent="0.3">
      <c r="G26" s="176" t="s">
        <v>226</v>
      </c>
      <c r="H26" s="177">
        <v>1</v>
      </c>
    </row>
    <row r="27" spans="7:8" ht="14.4" customHeight="1" x14ac:dyDescent="0.3">
      <c r="G27" s="176" t="s">
        <v>227</v>
      </c>
      <c r="H27" s="177">
        <v>2</v>
      </c>
    </row>
  </sheetData>
  <dataValidations count="1">
    <dataValidation type="decimal" allowBlank="1" showInputMessage="1" showErrorMessage="1" sqref="H1:H27" xr:uid="{A0990284-C84E-498C-8F5B-72B73896CDBC}">
      <formula1>0.1</formula1>
      <formula2>9999999</formula2>
    </dataValidation>
  </dataValidation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1">
    <pageSetUpPr fitToPage="1"/>
  </sheetPr>
  <dimension ref="A1:L80"/>
  <sheetViews>
    <sheetView showGridLines="0" zoomScaleNormal="100" workbookViewId="0">
      <selection activeCell="E17" sqref="E17"/>
    </sheetView>
  </sheetViews>
  <sheetFormatPr defaultColWidth="9.109375" defaultRowHeight="14.4" x14ac:dyDescent="0.3"/>
  <cols>
    <col min="1" max="1" width="5.109375" style="3" bestFit="1" customWidth="1"/>
    <col min="2" max="2" width="60.33203125" style="3" customWidth="1"/>
    <col min="3" max="3" width="3.44140625" style="3" customWidth="1"/>
    <col min="4" max="4" width="13.88671875" style="3" customWidth="1"/>
    <col min="5" max="5" width="11.88671875" style="3" customWidth="1"/>
    <col min="6" max="6" width="13.88671875" style="3" customWidth="1"/>
    <col min="7" max="7" width="25.6640625" style="3" customWidth="1"/>
    <col min="8" max="8" width="1.6640625" style="3" customWidth="1"/>
    <col min="9" max="9" width="11.6640625" style="3" bestFit="1" customWidth="1"/>
    <col min="10" max="10" width="15.6640625" style="3" bestFit="1" customWidth="1"/>
    <col min="11" max="11" width="14.33203125" style="3" bestFit="1" customWidth="1"/>
    <col min="12" max="12" width="64.44140625" style="3" bestFit="1" customWidth="1"/>
    <col min="13" max="16384" width="9.109375" style="3"/>
  </cols>
  <sheetData>
    <row r="1" spans="1:12" ht="23.4" x14ac:dyDescent="0.3">
      <c r="A1" s="125" t="s">
        <v>37</v>
      </c>
      <c r="B1" s="126"/>
      <c r="C1" s="126"/>
      <c r="D1" s="126"/>
      <c r="E1" s="126"/>
      <c r="F1" s="126"/>
      <c r="G1" s="126"/>
      <c r="I1" s="138">
        <v>44096</v>
      </c>
      <c r="J1" s="139" t="str">
        <f>Cotações!B10</f>
        <v>RC 381</v>
      </c>
      <c r="K1" s="139" t="str">
        <f>RIGHT(J1,LEN(J1)-(SEARCH("RC",UPPER(J1),1)+1))</f>
        <v xml:space="preserve"> 381</v>
      </c>
      <c r="L1" s="139">
        <v>4</v>
      </c>
    </row>
    <row r="2" spans="1:12" s="19" customFormat="1" ht="15.6" x14ac:dyDescent="0.3">
      <c r="A2" s="71" t="s">
        <v>38</v>
      </c>
      <c r="B2" s="71"/>
      <c r="C2" s="71"/>
      <c r="D2" s="71"/>
      <c r="E2" s="71"/>
      <c r="F2" s="71"/>
      <c r="G2" s="71"/>
      <c r="I2" s="140" t="e">
        <f>HLOOKUP(J2,Cotações!$F$1:$AE$2,2,0)</f>
        <v>#N/A</v>
      </c>
      <c r="J2" s="140" t="s">
        <v>230</v>
      </c>
      <c r="K2" s="140" t="e">
        <f>HLOOKUP(J2,Cotações!F1:$AE$3,3,0)</f>
        <v>#N/A</v>
      </c>
      <c r="L2" s="140"/>
    </row>
    <row r="3" spans="1:12" s="19" customFormat="1" ht="15.6" x14ac:dyDescent="0.3">
      <c r="A3" s="71" t="s">
        <v>39</v>
      </c>
      <c r="B3" s="71"/>
      <c r="C3" s="71"/>
      <c r="D3" s="71"/>
      <c r="E3" s="71"/>
      <c r="F3" s="71"/>
      <c r="G3" s="71"/>
      <c r="I3" s="140" t="str">
        <f>Cotações!B6</f>
        <v>Patricia Maria</v>
      </c>
      <c r="J3" s="140" t="str">
        <f>Cotações!B5</f>
        <v>Filial Permanbuco</v>
      </c>
      <c r="K3" s="140" t="str">
        <f>VLOOKUP(J3,Validação!C:D,2,0)</f>
        <v>ADM02000</v>
      </c>
      <c r="L3" s="140"/>
    </row>
    <row r="4" spans="1:12" s="73" customFormat="1" ht="10.199999999999999" x14ac:dyDescent="0.3">
      <c r="A4" s="74"/>
      <c r="B4" s="74"/>
      <c r="C4" s="74"/>
      <c r="D4" s="74"/>
      <c r="E4" s="74"/>
      <c r="F4" s="74"/>
      <c r="G4" s="74"/>
      <c r="I4" s="140" t="str">
        <f>Cotações!B8</f>
        <v>RNEST</v>
      </c>
      <c r="J4" s="141" t="str">
        <f>VLOOKUP(I4,Validação!$J$1:$K$36,2,0)</f>
        <v>RNEST - Refinaria Abreu e Lima
Rodovia PE-60, km 10 - Ipojuca
Complexo Petroquimico de Suape - PE</v>
      </c>
      <c r="K4" s="140" t="str">
        <f>K3&amp;TEXT(K1,"-0000")</f>
        <v>ADM02000-0381</v>
      </c>
      <c r="L4" s="141" t="str">
        <f>VLOOKUP(I4,Validação!J:L,3,0)</f>
        <v>As NFs devem ser enviadas para o endereço financeirope@epmanservicos.com.br
Ajustar as data de vencimento para os dias 05, 15 ou 25 do mês subsequente</v>
      </c>
    </row>
    <row r="5" spans="1:12" s="85" customFormat="1" ht="21" x14ac:dyDescent="0.3">
      <c r="A5" s="83" t="str">
        <f>"Pedido de Compras - "&amp;IFERROR(K4,"")&amp;TEXT(L1,"-00")</f>
        <v>Pedido de Compras - ADM02000-0381-04</v>
      </c>
      <c r="B5" s="84"/>
      <c r="C5" s="84"/>
      <c r="D5" s="84"/>
      <c r="E5" s="84"/>
      <c r="F5" s="84"/>
      <c r="G5" s="84"/>
    </row>
    <row r="6" spans="1:12" s="88" customFormat="1" ht="13.8" x14ac:dyDescent="0.3">
      <c r="A6" s="104" t="str">
        <f>"Data: " &amp;TEXT(I1,"dd/mm/aaaa")</f>
        <v>Data: 22/09/2020</v>
      </c>
      <c r="B6" s="86"/>
      <c r="C6" s="86"/>
      <c r="D6" s="86" t="str">
        <f>"Requisição: "&amp;J1</f>
        <v>Requisição: RC 381</v>
      </c>
      <c r="E6" s="86"/>
      <c r="F6" s="86"/>
      <c r="G6" s="87"/>
      <c r="I6" s="117"/>
    </row>
    <row r="7" spans="1:12" s="90" customFormat="1" ht="13.8" x14ac:dyDescent="0.3">
      <c r="A7" s="89" t="str">
        <f>"Vendedor: "&amp;IFERROR(I2,"")</f>
        <v xml:space="preserve">Vendedor: </v>
      </c>
      <c r="B7" s="89"/>
      <c r="C7" s="89"/>
      <c r="D7" s="89" t="str">
        <f>"Fornecedor: "&amp;J2</f>
        <v>Fornecedor: ECOLIMP</v>
      </c>
      <c r="E7" s="89"/>
      <c r="F7" s="89"/>
      <c r="G7" s="89"/>
    </row>
    <row r="8" spans="1:12" s="90" customFormat="1" ht="13.8" x14ac:dyDescent="0.3">
      <c r="A8" s="89" t="str">
        <f>"Comprador: "&amp;I3</f>
        <v>Comprador: Patricia Maria</v>
      </c>
      <c r="B8" s="89"/>
      <c r="C8" s="89"/>
      <c r="D8" s="89" t="str">
        <f>"Centro de Custo: "&amp;J3</f>
        <v>Centro de Custo: Filial Permanbuco</v>
      </c>
      <c r="E8" s="89"/>
      <c r="F8" s="89"/>
      <c r="G8" s="89"/>
    </row>
    <row r="9" spans="1:12" s="111" customFormat="1" ht="4.2" x14ac:dyDescent="0.3">
      <c r="A9" s="109"/>
      <c r="B9" s="109"/>
      <c r="C9" s="109"/>
      <c r="D9" s="109"/>
      <c r="E9" s="109"/>
      <c r="F9" s="109"/>
      <c r="G9" s="109"/>
    </row>
    <row r="10" spans="1:12" s="90" customFormat="1" ht="13.8" x14ac:dyDescent="0.3">
      <c r="A10" s="91" t="s">
        <v>55</v>
      </c>
      <c r="B10" s="89"/>
      <c r="C10" s="89"/>
      <c r="D10" s="91" t="s">
        <v>67</v>
      </c>
      <c r="E10" s="89"/>
      <c r="F10" s="89"/>
      <c r="G10" s="89"/>
    </row>
    <row r="11" spans="1:12" s="90" customFormat="1" ht="39.9" customHeight="1" x14ac:dyDescent="0.3">
      <c r="A11" s="184" t="str">
        <f>IFERROR(J4,"")</f>
        <v>RNEST - Refinaria Abreu e Lima
Rodovia PE-60, km 10 - Ipojuca
Complexo Petroquimico de Suape - PE</v>
      </c>
      <c r="B11" s="185"/>
      <c r="C11" s="93"/>
      <c r="D11" s="184" t="str">
        <f>IFERROR(K2,"")</f>
        <v/>
      </c>
      <c r="E11" s="186"/>
      <c r="F11" s="186"/>
      <c r="G11" s="185"/>
    </row>
    <row r="12" spans="1:12" s="111" customFormat="1" ht="4.2" x14ac:dyDescent="0.3">
      <c r="A12" s="109"/>
      <c r="B12" s="109"/>
      <c r="C12" s="109"/>
      <c r="D12" s="109"/>
      <c r="E12" s="109"/>
      <c r="F12" s="109"/>
      <c r="G12" s="109"/>
    </row>
    <row r="13" spans="1:12" s="90" customFormat="1" ht="13.8" x14ac:dyDescent="0.3">
      <c r="A13" s="95" t="s">
        <v>43</v>
      </c>
      <c r="B13" s="89"/>
      <c r="C13" s="89"/>
      <c r="D13" s="89"/>
      <c r="E13" s="89"/>
      <c r="F13" s="89"/>
      <c r="G13" s="89"/>
    </row>
    <row r="14" spans="1:12" s="90" customFormat="1" ht="31.5" customHeight="1" x14ac:dyDescent="0.3">
      <c r="A14" s="137" t="str">
        <f>IFERROR(L4,"")</f>
        <v>As NFs devem ser enviadas para o endereço financeirope@epmanservicos.com.br
Ajustar as data de vencimento para os dias 05, 15 ou 25 do mês subsequente</v>
      </c>
      <c r="B14" s="94"/>
      <c r="C14" s="94"/>
      <c r="D14" s="94"/>
      <c r="E14" s="94"/>
      <c r="F14" s="94"/>
      <c r="G14" s="92"/>
    </row>
    <row r="15" spans="1:12" s="111" customFormat="1" ht="4.2" x14ac:dyDescent="0.3">
      <c r="A15" s="110"/>
      <c r="B15" s="110"/>
      <c r="C15" s="110"/>
      <c r="D15" s="110"/>
      <c r="E15" s="110"/>
      <c r="F15" s="110"/>
      <c r="G15" s="110"/>
    </row>
    <row r="16" spans="1:12" s="89" customFormat="1" ht="13.8" x14ac:dyDescent="0.3">
      <c r="A16" s="101" t="s">
        <v>42</v>
      </c>
      <c r="B16" s="96"/>
      <c r="C16" s="96"/>
      <c r="D16" s="96"/>
      <c r="E16" s="96"/>
      <c r="F16" s="96"/>
      <c r="G16" s="96"/>
    </row>
    <row r="17" spans="1:7" s="109" customFormat="1" ht="4.2" x14ac:dyDescent="0.3">
      <c r="A17" s="108"/>
      <c r="B17" s="108"/>
      <c r="C17" s="108"/>
      <c r="D17" s="108"/>
      <c r="E17" s="108"/>
      <c r="F17" s="108"/>
      <c r="G17" s="108"/>
    </row>
    <row r="18" spans="1:7" s="102" customFormat="1" x14ac:dyDescent="0.3">
      <c r="A18" s="72" t="s">
        <v>31</v>
      </c>
      <c r="B18" s="76" t="s">
        <v>20</v>
      </c>
      <c r="C18" s="77"/>
      <c r="D18" s="72" t="s">
        <v>33</v>
      </c>
      <c r="E18" s="72" t="s">
        <v>58</v>
      </c>
      <c r="F18" s="78" t="s">
        <v>59</v>
      </c>
      <c r="G18" s="78" t="s">
        <v>56</v>
      </c>
    </row>
    <row r="19" spans="1:7" s="89" customFormat="1" ht="15.9" customHeight="1" x14ac:dyDescent="0.3">
      <c r="A19" s="97">
        <v>1</v>
      </c>
      <c r="B19" s="98"/>
      <c r="C19" s="99"/>
      <c r="D19" s="97"/>
      <c r="E19" s="97"/>
      <c r="F19" s="100"/>
      <c r="G19" s="100">
        <f>D19*F19</f>
        <v>0</v>
      </c>
    </row>
    <row r="20" spans="1:7" s="89" customFormat="1" ht="15.9" customHeight="1" x14ac:dyDescent="0.3">
      <c r="A20" s="97">
        <v>2</v>
      </c>
      <c r="B20" s="98"/>
      <c r="C20" s="99"/>
      <c r="D20" s="97"/>
      <c r="E20" s="97"/>
      <c r="F20" s="100"/>
      <c r="G20" s="100">
        <f t="shared" ref="G20:G78" si="0">D20*F20</f>
        <v>0</v>
      </c>
    </row>
    <row r="21" spans="1:7" s="89" customFormat="1" ht="15.9" customHeight="1" x14ac:dyDescent="0.3">
      <c r="A21" s="97">
        <v>3</v>
      </c>
      <c r="B21" s="98"/>
      <c r="C21" s="99"/>
      <c r="D21" s="97"/>
      <c r="E21" s="97"/>
      <c r="F21" s="100"/>
      <c r="G21" s="100">
        <f t="shared" si="0"/>
        <v>0</v>
      </c>
    </row>
    <row r="22" spans="1:7" s="89" customFormat="1" ht="15.9" customHeight="1" x14ac:dyDescent="0.3">
      <c r="A22" s="97">
        <v>4</v>
      </c>
      <c r="B22" s="98"/>
      <c r="C22" s="99"/>
      <c r="D22" s="97"/>
      <c r="E22" s="97"/>
      <c r="F22" s="100"/>
      <c r="G22" s="100">
        <f t="shared" si="0"/>
        <v>0</v>
      </c>
    </row>
    <row r="23" spans="1:7" s="89" customFormat="1" ht="15.9" customHeight="1" x14ac:dyDescent="0.3">
      <c r="A23" s="97">
        <v>5</v>
      </c>
      <c r="B23" s="98"/>
      <c r="C23" s="99"/>
      <c r="D23" s="97"/>
      <c r="E23" s="97"/>
      <c r="F23" s="100"/>
      <c r="G23" s="100">
        <f t="shared" si="0"/>
        <v>0</v>
      </c>
    </row>
    <row r="24" spans="1:7" s="89" customFormat="1" ht="15.9" customHeight="1" x14ac:dyDescent="0.3">
      <c r="A24" s="97">
        <v>6</v>
      </c>
      <c r="B24" s="98"/>
      <c r="C24" s="99"/>
      <c r="D24" s="97"/>
      <c r="E24" s="97"/>
      <c r="F24" s="100"/>
      <c r="G24" s="100">
        <f t="shared" si="0"/>
        <v>0</v>
      </c>
    </row>
    <row r="25" spans="1:7" s="89" customFormat="1" ht="15.9" customHeight="1" x14ac:dyDescent="0.3">
      <c r="A25" s="97">
        <v>7</v>
      </c>
      <c r="B25" s="98"/>
      <c r="C25" s="99"/>
      <c r="D25" s="97"/>
      <c r="E25" s="97"/>
      <c r="F25" s="100"/>
      <c r="G25" s="100">
        <f t="shared" si="0"/>
        <v>0</v>
      </c>
    </row>
    <row r="26" spans="1:7" s="89" customFormat="1" ht="15.9" customHeight="1" x14ac:dyDescent="0.3">
      <c r="A26" s="97">
        <v>8</v>
      </c>
      <c r="B26" s="98"/>
      <c r="C26" s="99"/>
      <c r="D26" s="97"/>
      <c r="E26" s="97"/>
      <c r="F26" s="100"/>
      <c r="G26" s="100">
        <f t="shared" si="0"/>
        <v>0</v>
      </c>
    </row>
    <row r="27" spans="1:7" s="89" customFormat="1" ht="15.9" customHeight="1" x14ac:dyDescent="0.3">
      <c r="A27" s="97">
        <v>9</v>
      </c>
      <c r="B27" s="98"/>
      <c r="C27" s="99"/>
      <c r="D27" s="97"/>
      <c r="E27" s="97"/>
      <c r="F27" s="100"/>
      <c r="G27" s="100">
        <f t="shared" si="0"/>
        <v>0</v>
      </c>
    </row>
    <row r="28" spans="1:7" s="89" customFormat="1" ht="15.9" customHeight="1" x14ac:dyDescent="0.3">
      <c r="A28" s="97">
        <v>10</v>
      </c>
      <c r="B28" s="98"/>
      <c r="C28" s="99"/>
      <c r="D28" s="97"/>
      <c r="E28" s="97"/>
      <c r="F28" s="100"/>
      <c r="G28" s="100">
        <f t="shared" si="0"/>
        <v>0</v>
      </c>
    </row>
    <row r="29" spans="1:7" s="89" customFormat="1" ht="15.9" customHeight="1" x14ac:dyDescent="0.3">
      <c r="A29" s="97">
        <v>11</v>
      </c>
      <c r="B29" s="98"/>
      <c r="C29" s="99"/>
      <c r="D29" s="97"/>
      <c r="E29" s="97"/>
      <c r="F29" s="100"/>
      <c r="G29" s="100">
        <f t="shared" si="0"/>
        <v>0</v>
      </c>
    </row>
    <row r="30" spans="1:7" s="89" customFormat="1" ht="15.9" customHeight="1" x14ac:dyDescent="0.3">
      <c r="A30" s="97">
        <v>12</v>
      </c>
      <c r="B30" s="98"/>
      <c r="C30" s="99"/>
      <c r="D30" s="97"/>
      <c r="E30" s="97"/>
      <c r="F30" s="100"/>
      <c r="G30" s="100">
        <f t="shared" si="0"/>
        <v>0</v>
      </c>
    </row>
    <row r="31" spans="1:7" s="89" customFormat="1" ht="15.9" customHeight="1" x14ac:dyDescent="0.3">
      <c r="A31" s="97">
        <v>13</v>
      </c>
      <c r="B31" s="98"/>
      <c r="C31" s="99"/>
      <c r="D31" s="97"/>
      <c r="E31" s="97"/>
      <c r="F31" s="100"/>
      <c r="G31" s="100">
        <f t="shared" si="0"/>
        <v>0</v>
      </c>
    </row>
    <row r="32" spans="1:7" s="89" customFormat="1" ht="15.9" customHeight="1" x14ac:dyDescent="0.3">
      <c r="A32" s="97">
        <v>14</v>
      </c>
      <c r="B32" s="98"/>
      <c r="C32" s="99"/>
      <c r="D32" s="97"/>
      <c r="E32" s="97"/>
      <c r="F32" s="100"/>
      <c r="G32" s="100">
        <f t="shared" si="0"/>
        <v>0</v>
      </c>
    </row>
    <row r="33" spans="1:7" s="89" customFormat="1" ht="15.9" customHeight="1" x14ac:dyDescent="0.3">
      <c r="A33" s="97">
        <v>15</v>
      </c>
      <c r="B33" s="98"/>
      <c r="C33" s="99"/>
      <c r="D33" s="97"/>
      <c r="E33" s="97"/>
      <c r="F33" s="100"/>
      <c r="G33" s="100">
        <f t="shared" si="0"/>
        <v>0</v>
      </c>
    </row>
    <row r="34" spans="1:7" s="89" customFormat="1" ht="15.9" customHeight="1" x14ac:dyDescent="0.3">
      <c r="A34" s="97">
        <v>16</v>
      </c>
      <c r="B34" s="98"/>
      <c r="C34" s="99"/>
      <c r="D34" s="97"/>
      <c r="E34" s="97"/>
      <c r="F34" s="100"/>
      <c r="G34" s="100">
        <f t="shared" si="0"/>
        <v>0</v>
      </c>
    </row>
    <row r="35" spans="1:7" s="89" customFormat="1" ht="15.9" customHeight="1" x14ac:dyDescent="0.3">
      <c r="A35" s="97">
        <v>17</v>
      </c>
      <c r="B35" s="98"/>
      <c r="C35" s="99"/>
      <c r="D35" s="97"/>
      <c r="E35" s="97"/>
      <c r="F35" s="100"/>
      <c r="G35" s="100">
        <f t="shared" si="0"/>
        <v>0</v>
      </c>
    </row>
    <row r="36" spans="1:7" s="89" customFormat="1" ht="15.9" customHeight="1" x14ac:dyDescent="0.3">
      <c r="A36" s="97">
        <v>18</v>
      </c>
      <c r="B36" s="98"/>
      <c r="C36" s="99"/>
      <c r="D36" s="97"/>
      <c r="E36" s="97"/>
      <c r="F36" s="100"/>
      <c r="G36" s="100">
        <f t="shared" si="0"/>
        <v>0</v>
      </c>
    </row>
    <row r="37" spans="1:7" s="89" customFormat="1" ht="15.9" customHeight="1" x14ac:dyDescent="0.3">
      <c r="A37" s="97">
        <v>19</v>
      </c>
      <c r="B37" s="98"/>
      <c r="C37" s="99"/>
      <c r="D37" s="97"/>
      <c r="E37" s="97"/>
      <c r="F37" s="100"/>
      <c r="G37" s="100">
        <f t="shared" si="0"/>
        <v>0</v>
      </c>
    </row>
    <row r="38" spans="1:7" s="89" customFormat="1" ht="15.9" customHeight="1" x14ac:dyDescent="0.3">
      <c r="A38" s="97">
        <v>20</v>
      </c>
      <c r="B38" s="98"/>
      <c r="C38" s="99"/>
      <c r="D38" s="97"/>
      <c r="E38" s="97"/>
      <c r="F38" s="100"/>
      <c r="G38" s="100">
        <f t="shared" si="0"/>
        <v>0</v>
      </c>
    </row>
    <row r="39" spans="1:7" s="89" customFormat="1" ht="15.9" customHeight="1" x14ac:dyDescent="0.3">
      <c r="A39" s="97">
        <v>21</v>
      </c>
      <c r="B39" s="98"/>
      <c r="C39" s="99"/>
      <c r="D39" s="97"/>
      <c r="E39" s="97"/>
      <c r="F39" s="100"/>
      <c r="G39" s="100">
        <f t="shared" si="0"/>
        <v>0</v>
      </c>
    </row>
    <row r="40" spans="1:7" s="89" customFormat="1" ht="15.9" customHeight="1" x14ac:dyDescent="0.3">
      <c r="A40" s="97">
        <v>22</v>
      </c>
      <c r="B40" s="98"/>
      <c r="C40" s="99"/>
      <c r="D40" s="97"/>
      <c r="E40" s="97"/>
      <c r="F40" s="100"/>
      <c r="G40" s="100">
        <f t="shared" si="0"/>
        <v>0</v>
      </c>
    </row>
    <row r="41" spans="1:7" s="89" customFormat="1" ht="15.9" customHeight="1" x14ac:dyDescent="0.3">
      <c r="A41" s="97">
        <v>23</v>
      </c>
      <c r="B41" s="98"/>
      <c r="C41" s="99"/>
      <c r="D41" s="97"/>
      <c r="E41" s="97"/>
      <c r="F41" s="100"/>
      <c r="G41" s="100">
        <f t="shared" si="0"/>
        <v>0</v>
      </c>
    </row>
    <row r="42" spans="1:7" s="89" customFormat="1" ht="15.9" customHeight="1" x14ac:dyDescent="0.3">
      <c r="A42" s="97">
        <v>24</v>
      </c>
      <c r="B42" s="98"/>
      <c r="C42" s="99"/>
      <c r="D42" s="97"/>
      <c r="E42" s="97"/>
      <c r="F42" s="100"/>
      <c r="G42" s="100">
        <f t="shared" si="0"/>
        <v>0</v>
      </c>
    </row>
    <row r="43" spans="1:7" s="89" customFormat="1" ht="15.9" customHeight="1" x14ac:dyDescent="0.3">
      <c r="A43" s="97">
        <v>25</v>
      </c>
      <c r="B43" s="98"/>
      <c r="C43" s="99"/>
      <c r="D43" s="97"/>
      <c r="E43" s="97"/>
      <c r="F43" s="100"/>
      <c r="G43" s="100">
        <f t="shared" si="0"/>
        <v>0</v>
      </c>
    </row>
    <row r="44" spans="1:7" s="89" customFormat="1" ht="15.9" customHeight="1" x14ac:dyDescent="0.3">
      <c r="A44" s="97">
        <v>26</v>
      </c>
      <c r="B44" s="98"/>
      <c r="C44" s="99"/>
      <c r="D44" s="97"/>
      <c r="E44" s="97"/>
      <c r="F44" s="100"/>
      <c r="G44" s="100">
        <f t="shared" si="0"/>
        <v>0</v>
      </c>
    </row>
    <row r="45" spans="1:7" s="89" customFormat="1" ht="15.9" customHeight="1" x14ac:dyDescent="0.3">
      <c r="A45" s="97">
        <v>27</v>
      </c>
      <c r="B45" s="98"/>
      <c r="C45" s="99"/>
      <c r="D45" s="97"/>
      <c r="E45" s="97"/>
      <c r="F45" s="100"/>
      <c r="G45" s="100">
        <f t="shared" si="0"/>
        <v>0</v>
      </c>
    </row>
    <row r="46" spans="1:7" s="89" customFormat="1" ht="15.9" customHeight="1" x14ac:dyDescent="0.3">
      <c r="A46" s="97">
        <v>28</v>
      </c>
      <c r="B46" s="98"/>
      <c r="C46" s="99"/>
      <c r="D46" s="97"/>
      <c r="E46" s="97"/>
      <c r="F46" s="100"/>
      <c r="G46" s="100">
        <f t="shared" si="0"/>
        <v>0</v>
      </c>
    </row>
    <row r="47" spans="1:7" s="89" customFormat="1" ht="15.9" customHeight="1" x14ac:dyDescent="0.3">
      <c r="A47" s="97">
        <v>29</v>
      </c>
      <c r="B47" s="98"/>
      <c r="C47" s="99"/>
      <c r="D47" s="97"/>
      <c r="E47" s="97"/>
      <c r="F47" s="100"/>
      <c r="G47" s="100">
        <f t="shared" si="0"/>
        <v>0</v>
      </c>
    </row>
    <row r="48" spans="1:7" s="89" customFormat="1" ht="15.9" customHeight="1" x14ac:dyDescent="0.3">
      <c r="A48" s="97">
        <v>30</v>
      </c>
      <c r="B48" s="98"/>
      <c r="C48" s="99"/>
      <c r="D48" s="97"/>
      <c r="E48" s="97"/>
      <c r="F48" s="100"/>
      <c r="G48" s="100">
        <f t="shared" si="0"/>
        <v>0</v>
      </c>
    </row>
    <row r="49" spans="1:7" s="89" customFormat="1" ht="15.9" customHeight="1" x14ac:dyDescent="0.3">
      <c r="A49" s="97">
        <v>31</v>
      </c>
      <c r="B49" s="98"/>
      <c r="C49" s="99"/>
      <c r="D49" s="97"/>
      <c r="E49" s="97"/>
      <c r="F49" s="100"/>
      <c r="G49" s="100">
        <f t="shared" si="0"/>
        <v>0</v>
      </c>
    </row>
    <row r="50" spans="1:7" s="89" customFormat="1" ht="15.9" customHeight="1" x14ac:dyDescent="0.3">
      <c r="A50" s="97">
        <v>32</v>
      </c>
      <c r="B50" s="98"/>
      <c r="C50" s="99"/>
      <c r="D50" s="97"/>
      <c r="E50" s="97"/>
      <c r="F50" s="100"/>
      <c r="G50" s="100">
        <f t="shared" si="0"/>
        <v>0</v>
      </c>
    </row>
    <row r="51" spans="1:7" s="89" customFormat="1" ht="15.9" customHeight="1" x14ac:dyDescent="0.3">
      <c r="A51" s="97">
        <v>33</v>
      </c>
      <c r="B51" s="98"/>
      <c r="C51" s="99"/>
      <c r="D51" s="97"/>
      <c r="E51" s="97"/>
      <c r="F51" s="100"/>
      <c r="G51" s="100">
        <f t="shared" si="0"/>
        <v>0</v>
      </c>
    </row>
    <row r="52" spans="1:7" s="89" customFormat="1" ht="15.9" customHeight="1" x14ac:dyDescent="0.3">
      <c r="A52" s="97">
        <v>34</v>
      </c>
      <c r="B52" s="98"/>
      <c r="C52" s="99"/>
      <c r="D52" s="97"/>
      <c r="E52" s="97"/>
      <c r="F52" s="100"/>
      <c r="G52" s="100">
        <f t="shared" si="0"/>
        <v>0</v>
      </c>
    </row>
    <row r="53" spans="1:7" s="89" customFormat="1" ht="15.9" customHeight="1" x14ac:dyDescent="0.3">
      <c r="A53" s="97">
        <v>35</v>
      </c>
      <c r="B53" s="98"/>
      <c r="C53" s="99"/>
      <c r="D53" s="97"/>
      <c r="E53" s="97"/>
      <c r="F53" s="100"/>
      <c r="G53" s="100">
        <f t="shared" si="0"/>
        <v>0</v>
      </c>
    </row>
    <row r="54" spans="1:7" s="89" customFormat="1" ht="15.9" customHeight="1" x14ac:dyDescent="0.3">
      <c r="A54" s="97">
        <v>36</v>
      </c>
      <c r="B54" s="98"/>
      <c r="C54" s="99"/>
      <c r="D54" s="97"/>
      <c r="E54" s="97"/>
      <c r="F54" s="100"/>
      <c r="G54" s="100">
        <f t="shared" si="0"/>
        <v>0</v>
      </c>
    </row>
    <row r="55" spans="1:7" s="89" customFormat="1" ht="15.9" customHeight="1" x14ac:dyDescent="0.3">
      <c r="A55" s="97">
        <v>37</v>
      </c>
      <c r="B55" s="98"/>
      <c r="C55" s="99"/>
      <c r="D55" s="97"/>
      <c r="E55" s="97"/>
      <c r="F55" s="100"/>
      <c r="G55" s="100">
        <f t="shared" si="0"/>
        <v>0</v>
      </c>
    </row>
    <row r="56" spans="1:7" s="89" customFormat="1" ht="15.9" customHeight="1" x14ac:dyDescent="0.3">
      <c r="A56" s="97">
        <v>38</v>
      </c>
      <c r="B56" s="98"/>
      <c r="C56" s="99"/>
      <c r="D56" s="97"/>
      <c r="E56" s="97"/>
      <c r="F56" s="100"/>
      <c r="G56" s="100">
        <f t="shared" si="0"/>
        <v>0</v>
      </c>
    </row>
    <row r="57" spans="1:7" s="89" customFormat="1" ht="15.9" customHeight="1" x14ac:dyDescent="0.3">
      <c r="A57" s="97">
        <v>39</v>
      </c>
      <c r="B57" s="98"/>
      <c r="C57" s="99"/>
      <c r="D57" s="97"/>
      <c r="E57" s="97"/>
      <c r="F57" s="100"/>
      <c r="G57" s="100">
        <f t="shared" si="0"/>
        <v>0</v>
      </c>
    </row>
    <row r="58" spans="1:7" s="89" customFormat="1" ht="15.9" customHeight="1" x14ac:dyDescent="0.3">
      <c r="A58" s="97">
        <v>40</v>
      </c>
      <c r="B58" s="98"/>
      <c r="C58" s="99"/>
      <c r="D58" s="97"/>
      <c r="E58" s="97"/>
      <c r="F58" s="100"/>
      <c r="G58" s="100">
        <f t="shared" si="0"/>
        <v>0</v>
      </c>
    </row>
    <row r="59" spans="1:7" s="89" customFormat="1" ht="15.9" customHeight="1" x14ac:dyDescent="0.3">
      <c r="A59" s="97">
        <v>41</v>
      </c>
      <c r="B59" s="98"/>
      <c r="C59" s="99"/>
      <c r="D59" s="97"/>
      <c r="E59" s="97"/>
      <c r="F59" s="100"/>
      <c r="G59" s="100">
        <f t="shared" si="0"/>
        <v>0</v>
      </c>
    </row>
    <row r="60" spans="1:7" s="89" customFormat="1" ht="15.9" customHeight="1" x14ac:dyDescent="0.3">
      <c r="A60" s="97">
        <v>42</v>
      </c>
      <c r="B60" s="98"/>
      <c r="C60" s="99"/>
      <c r="D60" s="97"/>
      <c r="E60" s="97"/>
      <c r="F60" s="100"/>
      <c r="G60" s="100">
        <f t="shared" si="0"/>
        <v>0</v>
      </c>
    </row>
    <row r="61" spans="1:7" s="89" customFormat="1" ht="15.9" customHeight="1" x14ac:dyDescent="0.3">
      <c r="A61" s="97">
        <v>43</v>
      </c>
      <c r="B61" s="98"/>
      <c r="C61" s="99"/>
      <c r="D61" s="97"/>
      <c r="E61" s="97"/>
      <c r="F61" s="100"/>
      <c r="G61" s="100">
        <f t="shared" si="0"/>
        <v>0</v>
      </c>
    </row>
    <row r="62" spans="1:7" s="89" customFormat="1" ht="15.9" customHeight="1" x14ac:dyDescent="0.3">
      <c r="A62" s="97">
        <v>44</v>
      </c>
      <c r="B62" s="98"/>
      <c r="C62" s="99"/>
      <c r="D62" s="97"/>
      <c r="E62" s="97"/>
      <c r="F62" s="100"/>
      <c r="G62" s="100">
        <f t="shared" si="0"/>
        <v>0</v>
      </c>
    </row>
    <row r="63" spans="1:7" s="89" customFormat="1" ht="15.9" customHeight="1" x14ac:dyDescent="0.3">
      <c r="A63" s="97">
        <v>45</v>
      </c>
      <c r="B63" s="98"/>
      <c r="C63" s="99"/>
      <c r="D63" s="97"/>
      <c r="E63" s="97"/>
      <c r="F63" s="100"/>
      <c r="G63" s="100">
        <f t="shared" si="0"/>
        <v>0</v>
      </c>
    </row>
    <row r="64" spans="1:7" s="89" customFormat="1" ht="15.9" customHeight="1" x14ac:dyDescent="0.3">
      <c r="A64" s="97">
        <v>46</v>
      </c>
      <c r="B64" s="98"/>
      <c r="C64" s="99"/>
      <c r="D64" s="97"/>
      <c r="E64" s="97"/>
      <c r="F64" s="100"/>
      <c r="G64" s="100">
        <f t="shared" si="0"/>
        <v>0</v>
      </c>
    </row>
    <row r="65" spans="1:7" s="89" customFormat="1" ht="15.9" customHeight="1" x14ac:dyDescent="0.3">
      <c r="A65" s="97">
        <v>47</v>
      </c>
      <c r="B65" s="98"/>
      <c r="C65" s="99"/>
      <c r="D65" s="97"/>
      <c r="E65" s="97"/>
      <c r="F65" s="100"/>
      <c r="G65" s="100">
        <f t="shared" si="0"/>
        <v>0</v>
      </c>
    </row>
    <row r="66" spans="1:7" s="89" customFormat="1" ht="15.9" customHeight="1" x14ac:dyDescent="0.3">
      <c r="A66" s="97">
        <v>48</v>
      </c>
      <c r="B66" s="98"/>
      <c r="C66" s="99"/>
      <c r="D66" s="97"/>
      <c r="E66" s="97"/>
      <c r="F66" s="100"/>
      <c r="G66" s="100">
        <f t="shared" si="0"/>
        <v>0</v>
      </c>
    </row>
    <row r="67" spans="1:7" s="89" customFormat="1" ht="15.9" customHeight="1" x14ac:dyDescent="0.3">
      <c r="A67" s="97">
        <v>49</v>
      </c>
      <c r="B67" s="98"/>
      <c r="C67" s="99"/>
      <c r="D67" s="97"/>
      <c r="E67" s="97"/>
      <c r="F67" s="100"/>
      <c r="G67" s="100">
        <f t="shared" si="0"/>
        <v>0</v>
      </c>
    </row>
    <row r="68" spans="1:7" s="89" customFormat="1" ht="15.9" customHeight="1" x14ac:dyDescent="0.3">
      <c r="A68" s="97">
        <v>50</v>
      </c>
      <c r="B68" s="98"/>
      <c r="C68" s="99"/>
      <c r="D68" s="97"/>
      <c r="E68" s="97"/>
      <c r="F68" s="100"/>
      <c r="G68" s="100">
        <f t="shared" si="0"/>
        <v>0</v>
      </c>
    </row>
    <row r="69" spans="1:7" s="89" customFormat="1" ht="15.9" customHeight="1" x14ac:dyDescent="0.3">
      <c r="A69" s="97">
        <v>51</v>
      </c>
      <c r="B69" s="98"/>
      <c r="C69" s="99"/>
      <c r="D69" s="97"/>
      <c r="E69" s="97"/>
      <c r="F69" s="100"/>
      <c r="G69" s="100">
        <f t="shared" si="0"/>
        <v>0</v>
      </c>
    </row>
    <row r="70" spans="1:7" s="89" customFormat="1" ht="15.9" customHeight="1" x14ac:dyDescent="0.3">
      <c r="A70" s="97">
        <v>52</v>
      </c>
      <c r="B70" s="98"/>
      <c r="C70" s="99"/>
      <c r="D70" s="97"/>
      <c r="E70" s="97"/>
      <c r="F70" s="100"/>
      <c r="G70" s="100">
        <f t="shared" si="0"/>
        <v>0</v>
      </c>
    </row>
    <row r="71" spans="1:7" s="89" customFormat="1" ht="15.9" customHeight="1" x14ac:dyDescent="0.3">
      <c r="A71" s="97">
        <v>53</v>
      </c>
      <c r="B71" s="98"/>
      <c r="C71" s="99"/>
      <c r="D71" s="97"/>
      <c r="E71" s="97"/>
      <c r="F71" s="100"/>
      <c r="G71" s="100">
        <f t="shared" si="0"/>
        <v>0</v>
      </c>
    </row>
    <row r="72" spans="1:7" s="89" customFormat="1" ht="15.9" customHeight="1" x14ac:dyDescent="0.3">
      <c r="A72" s="97">
        <v>54</v>
      </c>
      <c r="B72" s="98"/>
      <c r="C72" s="99"/>
      <c r="D72" s="97"/>
      <c r="E72" s="97"/>
      <c r="F72" s="100"/>
      <c r="G72" s="100">
        <f t="shared" si="0"/>
        <v>0</v>
      </c>
    </row>
    <row r="73" spans="1:7" s="89" customFormat="1" ht="15.9" customHeight="1" x14ac:dyDescent="0.3">
      <c r="A73" s="97">
        <v>55</v>
      </c>
      <c r="B73" s="98"/>
      <c r="C73" s="99"/>
      <c r="D73" s="97"/>
      <c r="E73" s="97"/>
      <c r="F73" s="100"/>
      <c r="G73" s="100">
        <f t="shared" si="0"/>
        <v>0</v>
      </c>
    </row>
    <row r="74" spans="1:7" s="89" customFormat="1" ht="15.9" customHeight="1" x14ac:dyDescent="0.3">
      <c r="A74" s="97">
        <v>56</v>
      </c>
      <c r="B74" s="98"/>
      <c r="C74" s="99"/>
      <c r="D74" s="97"/>
      <c r="E74" s="97"/>
      <c r="F74" s="100"/>
      <c r="G74" s="100">
        <f t="shared" si="0"/>
        <v>0</v>
      </c>
    </row>
    <row r="75" spans="1:7" s="89" customFormat="1" ht="15.9" customHeight="1" x14ac:dyDescent="0.3">
      <c r="A75" s="97">
        <v>57</v>
      </c>
      <c r="B75" s="98"/>
      <c r="C75" s="99"/>
      <c r="D75" s="97"/>
      <c r="E75" s="97"/>
      <c r="F75" s="100"/>
      <c r="G75" s="100">
        <f t="shared" si="0"/>
        <v>0</v>
      </c>
    </row>
    <row r="76" spans="1:7" s="89" customFormat="1" ht="15.9" customHeight="1" x14ac:dyDescent="0.3">
      <c r="A76" s="97">
        <v>58</v>
      </c>
      <c r="B76" s="98"/>
      <c r="C76" s="99"/>
      <c r="D76" s="97"/>
      <c r="E76" s="97"/>
      <c r="F76" s="100"/>
      <c r="G76" s="100">
        <f t="shared" si="0"/>
        <v>0</v>
      </c>
    </row>
    <row r="77" spans="1:7" s="89" customFormat="1" ht="15.9" customHeight="1" x14ac:dyDescent="0.3">
      <c r="A77" s="97">
        <v>59</v>
      </c>
      <c r="B77" s="98"/>
      <c r="C77" s="99"/>
      <c r="D77" s="97"/>
      <c r="E77" s="97"/>
      <c r="F77" s="100"/>
      <c r="G77" s="100">
        <f t="shared" si="0"/>
        <v>0</v>
      </c>
    </row>
    <row r="78" spans="1:7" s="89" customFormat="1" ht="15.9" customHeight="1" x14ac:dyDescent="0.3">
      <c r="A78" s="97">
        <v>60</v>
      </c>
      <c r="B78" s="98"/>
      <c r="C78" s="99"/>
      <c r="D78" s="97"/>
      <c r="E78" s="97"/>
      <c r="F78" s="100"/>
      <c r="G78" s="100">
        <f t="shared" si="0"/>
        <v>0</v>
      </c>
    </row>
    <row r="79" spans="1:7" s="82" customFormat="1" ht="7.8" x14ac:dyDescent="0.3"/>
    <row r="80" spans="1:7" s="17" customFormat="1" ht="23.4" x14ac:dyDescent="0.3">
      <c r="A80" s="80" t="s">
        <v>45</v>
      </c>
      <c r="B80" s="81"/>
      <c r="C80" s="81"/>
      <c r="D80" s="81"/>
      <c r="E80" s="81"/>
      <c r="F80" s="81"/>
      <c r="G80" s="79">
        <f>SUM(G19:G78)</f>
        <v>0</v>
      </c>
    </row>
  </sheetData>
  <mergeCells count="2">
    <mergeCell ref="A11:B11"/>
    <mergeCell ref="D11:G11"/>
  </mergeCells>
  <printOptions horizontalCentered="1"/>
  <pageMargins left="0.39370078740157483" right="0.39370078740157483" top="0.19685039370078741" bottom="0.39370078740157483" header="0.31496062992125984" footer="0.19685039370078741"/>
  <pageSetup paperSize="9" scale="62" orientation="portrait" horizontalDpi="300" verticalDpi="300" r:id="rId1"/>
  <headerFooter>
    <oddFooter>&amp;L&amp;8&amp;F
&amp;D&amp;R&amp;8&amp;N de &amp;N</oddFoot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7</vt:i4>
      </vt:variant>
    </vt:vector>
  </HeadingPairs>
  <TitlesOfParts>
    <vt:vector size="11" baseType="lpstr">
      <vt:lpstr>Validação</vt:lpstr>
      <vt:lpstr>Cotações</vt:lpstr>
      <vt:lpstr>Planilha1</vt:lpstr>
      <vt:lpstr>Pedido</vt:lpstr>
      <vt:lpstr>Cotações!Area_de_impressao</vt:lpstr>
      <vt:lpstr>Pedido!Area_de_impressao</vt:lpstr>
      <vt:lpstr>Centro_Custo</vt:lpstr>
      <vt:lpstr>Comprador</vt:lpstr>
      <vt:lpstr>Local_Entrega</vt:lpstr>
      <vt:lpstr>Requisitante</vt:lpstr>
      <vt:lpstr>Unidade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Flavio</dc:creator>
  <cp:lastModifiedBy>Patrícia Maria</cp:lastModifiedBy>
  <cp:revision/>
  <cp:lastPrinted>2020-09-22T21:25:17Z</cp:lastPrinted>
  <dcterms:created xsi:type="dcterms:W3CDTF">2019-08-10T12:42:53Z</dcterms:created>
  <dcterms:modified xsi:type="dcterms:W3CDTF">2020-09-22T21:25:26Z</dcterms:modified>
</cp:coreProperties>
</file>